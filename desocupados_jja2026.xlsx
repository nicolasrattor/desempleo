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exo" sheetId="3" state="visible" r:id="rId3"/>
    <sheet xmlns:r="http://schemas.openxmlformats.org/officeDocument/2006/relationships" name="Edad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Provincia" sheetId="6" state="visible" r:id="rId6"/>
    <sheet xmlns:r="http://schemas.openxmlformats.org/officeDocument/2006/relationships" name="Educacion" sheetId="7" state="visible" r:id="rId7"/>
    <sheet xmlns:r="http://schemas.openxmlformats.org/officeDocument/2006/relationships" name="Nacionalidad" sheetId="8" state="visible" r:id="rId8"/>
    <sheet xmlns:r="http://schemas.openxmlformats.org/officeDocument/2006/relationships" name="Pueblo_indigena" sheetId="9" state="visible" r:id="rId9"/>
    <sheet xmlns:r="http://schemas.openxmlformats.org/officeDocument/2006/relationships" name="Jefatura_hogar" sheetId="10" state="visible" r:id="rId10"/>
    <sheet xmlns:r="http://schemas.openxmlformats.org/officeDocument/2006/relationships" name="Condicion" sheetId="11" state="visible" r:id="rId11"/>
    <sheet xmlns:r="http://schemas.openxmlformats.org/officeDocument/2006/relationships" name="Duracion_busqueda" sheetId="12" state="visible" r:id="rId12"/>
    <sheet xmlns:r="http://schemas.openxmlformats.org/officeDocument/2006/relationships" name="Duracion_cesantia" sheetId="13" state="visible" r:id="rId13"/>
    <sheet xmlns:r="http://schemas.openxmlformats.org/officeDocument/2006/relationships" name="Motivo_termino" sheetId="14" state="visible" r:id="rId14"/>
    <sheet xmlns:r="http://schemas.openxmlformats.org/officeDocument/2006/relationships" name="Motivo_despido" sheetId="15" state="visible" r:id="rId15"/>
    <sheet xmlns:r="http://schemas.openxmlformats.org/officeDocument/2006/relationships" name="Motivo_renuncia" sheetId="16" state="visible" r:id="rId16"/>
    <sheet xmlns:r="http://schemas.openxmlformats.org/officeDocument/2006/relationships" name="Jornada_buscada" sheetId="17" state="visible" r:id="rId17"/>
    <sheet xmlns:r="http://schemas.openxmlformats.org/officeDocument/2006/relationships" name="Metodos_busqueda" sheetId="18" state="visible" r:id="rId18"/>
    <sheet xmlns:r="http://schemas.openxmlformats.org/officeDocument/2006/relationships" name="Panel_situacion_2025" sheetId="19" state="visible" r:id="rId19"/>
    <sheet xmlns:r="http://schemas.openxmlformats.org/officeDocument/2006/relationships" name="Panel_rama_2025" sheetId="20" state="visible" r:id="rId20"/>
    <sheet xmlns:r="http://schemas.openxmlformats.org/officeDocument/2006/relationships" name="Panel_contrato_2025" sheetId="21" state="visible" r:id="rId21"/>
    <sheet xmlns:r="http://schemas.openxmlformats.org/officeDocument/2006/relationships" name="Panel_categoria_2025" sheetId="22" state="visible" r:id="rId22"/>
    <sheet xmlns:r="http://schemas.openxmlformats.org/officeDocument/2006/relationships" name="Panel_formalidad_2025" sheetId="23" state="visible" r:id="rId23"/>
    <sheet xmlns:r="http://schemas.openxmlformats.org/officeDocument/2006/relationships" name="Panel_sector_inst_2025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3" fontId="4" fillId="0" borderId="2" pivotButton="0" quotePrefix="0" xfId="0"/>
    <xf numFmtId="164" fontId="4" fillId="0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Caracterización de las personas desocupadas - ENE, trimestre móvil junio-julio-agosto 2026</t>
        </is>
      </c>
    </row>
    <row r="2">
      <c r="A2" s="2" t="inlineStr"/>
    </row>
    <row r="3">
      <c r="A3" s="2" t="inlineStr">
        <is>
          <t>Fuente: Instituto Nacional de Estadísticas (INE), Encuesta Nacional de Empleo (ENE), microdatos.</t>
        </is>
      </c>
    </row>
    <row r="4">
      <c r="A4" s="2" t="inlineStr">
        <is>
          <t>Elaboración propia. Trimestre móvil JJA 2026 (mes central: julio). Muestra: 97.529 personas.</t>
        </is>
      </c>
    </row>
    <row r="5">
      <c r="A5" s="2" t="inlineStr"/>
    </row>
    <row r="6">
      <c r="A6" s="2" t="inlineStr">
        <is>
          <t>DEFINICIONES</t>
        </is>
      </c>
    </row>
    <row r="7">
      <c r="A7" s="2" t="inlineStr">
        <is>
          <t>Población en edad de trabajar (PET): personas de 15 años y más.</t>
        </is>
      </c>
    </row>
    <row r="8">
      <c r="A8" s="2" t="inlineStr">
        <is>
          <t>Fuerza de trabajo: personas ocupadas más personas desocupadas (ft = 1).</t>
        </is>
      </c>
    </row>
    <row r="9">
      <c r="A9" s="2" t="inlineStr">
        <is>
          <t>Persona desocupada (activ = 2): sin empleo, que buscó trabajo en las últimas cuatro semanas y</t>
        </is>
      </c>
    </row>
    <row r="10">
      <c r="A10" s="2" t="inlineStr">
        <is>
          <t xml:space="preserve">   está disponible para trabajar (marco conceptual OIT, 19a CIET).</t>
        </is>
      </c>
    </row>
    <row r="11">
      <c r="A11" s="2" t="inlineStr">
        <is>
          <t>Cesante (cae_general = 4): persona desocupada con experiencia laboral previa.</t>
        </is>
      </c>
    </row>
    <row r="12">
      <c r="A12" s="2" t="inlineStr">
        <is>
          <t>Busca trabajo por primera vez (cae_general = 5): persona desocupada sin empleo anterior.</t>
        </is>
      </c>
    </row>
    <row r="13">
      <c r="A13" s="2" t="inlineStr">
        <is>
          <t>Tasa de desocupación = personas desocupadas / fuerza de trabajo * 100.</t>
        </is>
      </c>
    </row>
    <row r="14">
      <c r="A14" s="2" t="inlineStr"/>
    </row>
    <row r="15">
      <c r="A15" s="2" t="inlineStr">
        <is>
          <t>EXPANSIÓN</t>
        </is>
      </c>
    </row>
    <row r="16">
      <c r="A16" s="2" t="inlineStr">
        <is>
          <t>Todas las cifras de personas están expandidas con el factor trimestral fact_cal (proyecciones de</t>
        </is>
      </c>
    </row>
    <row r="17">
      <c r="A17" s="2" t="inlineStr">
        <is>
          <t xml:space="preserve">   población base Censo 2017). Los 'casos muestrales' corresponden a personas encuestadas.</t>
        </is>
      </c>
    </row>
    <row r="18">
      <c r="A18" s="2" t="inlineStr">
        <is>
          <t>Se recomienda cautela al interpretar categorías con menos de 50 casos muestrales.</t>
        </is>
      </c>
    </row>
    <row r="19">
      <c r="A19" s="2" t="inlineStr"/>
    </row>
    <row r="20">
      <c r="A20" s="2" t="inlineStr">
        <is>
          <t>VARIABLES UTILIZADAS</t>
        </is>
      </c>
    </row>
    <row r="21">
      <c r="A21" s="2" t="inlineStr">
        <is>
          <t>sexo; tramo_edad; region; cine11_1d (nivel educacional); nacionalidad (ISO 3166, 152 = Chile);</t>
        </is>
      </c>
    </row>
    <row r="22">
      <c r="A22" s="2" t="inlineStr">
        <is>
          <t>orig1 (pueblo indígena); parentesco (jefatura de hogar); cae_general (condición de desocupación);</t>
        </is>
      </c>
    </row>
    <row r="23">
      <c r="A23" s="2" t="inlineStr">
        <is>
          <t>e7 (jornada buscada); e3_1 a e3_12 (gestiones de búsqueda); e6_mes/e6_ano (inicio de la búsqueda);</t>
        </is>
      </c>
    </row>
    <row r="24">
      <c r="A24" s="2" t="inlineStr">
        <is>
          <t>e21_mes/e21_ano (término del último empleo); e22 (motivo de término del último empleo);</t>
        </is>
      </c>
    </row>
    <row r="25">
      <c r="A25" s="2" t="inlineStr">
        <is>
          <t>e23 (motivo del despido, solo si e22 = 1); e24 (motivo de la renuncia, solo si e22 = 2).</t>
        </is>
      </c>
    </row>
    <row r="26">
      <c r="A26" s="2" t="inlineStr"/>
    </row>
    <row r="27">
      <c r="A27" s="2" t="inlineStr">
        <is>
          <t>SUPUESTOS</t>
        </is>
      </c>
    </row>
    <row r="28">
      <c r="A28" s="2" t="inlineStr">
        <is>
          <t>La duración de la búsqueda y de la cesantía se calcula como diferencia en meses entre el mes de la</t>
        </is>
      </c>
    </row>
    <row r="29">
      <c r="A29" s="2" t="inlineStr">
        <is>
          <t xml:space="preserve">   entrevista (mes_encuesta) y la fecha declarada; los valores negativos se truncan en 0 y los</t>
        </is>
      </c>
    </row>
    <row r="30">
      <c r="A30" s="2" t="inlineStr">
        <is>
          <t xml:space="preserve">   códigos 88 / 99 / 9999 se clasifican como 'No declarado'.</t>
        </is>
      </c>
    </row>
    <row r="31">
      <c r="A31" s="2" t="inlineStr">
        <is>
          <t>Las etiquetas de cine11_1d se validaron cruzando esa variable con 'nivel' y 'termino_nivel'.</t>
        </is>
      </c>
    </row>
    <row r="32">
      <c r="A32" s="2" t="inlineStr">
        <is>
          <t>Las glosas de e22 (pregunta E19) para los códigos 3 a 9, 88 y 99 provienen del libro de códigos del INE.</t>
        </is>
      </c>
    </row>
    <row r="33">
      <c r="A33" s="2" t="inlineStr">
        <is>
          <t xml:space="preserve">   Los códigos 1 y 2 se etiquetan como despido y renuncia porque son los que habilitan las preguntas</t>
        </is>
      </c>
    </row>
    <row r="34">
      <c r="A34" s="2" t="inlineStr">
        <is>
          <t xml:space="preserve">   e23 (motivo de despido) y e24 (motivo de renuncia).</t>
        </is>
      </c>
    </row>
    <row r="35">
      <c r="A35" s="2" t="inlineStr">
        <is>
          <t>Las glosas de e23 y e24 provienen del libro de códigos del INE; ambas preguntas se incorporaron a</t>
        </is>
      </c>
    </row>
    <row r="36">
      <c r="A36" s="2" t="inlineStr">
        <is>
          <t xml:space="preserve">   partir del trimestre JJA 2020 por recomendación de la OIT (INE, 2020c).</t>
        </is>
      </c>
    </row>
    <row r="37">
      <c r="A37" s="2" t="inlineStr"/>
    </row>
    <row r="38">
      <c r="A38" s="2" t="inlineStr"/>
    </row>
    <row r="39">
      <c r="A39" s="2" t="inlineStr">
        <is>
          <t>ESTRUCTURA PANEL (hojas Panel_*)</t>
        </is>
      </c>
    </row>
    <row r="40">
      <c r="A40" s="2" t="inlineStr">
        <is>
          <t>La ENE es una encuesta de panel rotativo: cada persona seleccionada es entrevistada durante tres</t>
        </is>
      </c>
    </row>
    <row r="41">
      <c r="A41" s="2" t="inlineStr">
        <is>
          <t xml:space="preserve">   meses consecutivos, sale de la muestra y vuelve a ser entrevistada tres meses más, 12 meses</t>
        </is>
      </c>
    </row>
    <row r="42">
      <c r="A42" s="2" t="inlineStr">
        <is>
          <t xml:space="preserve">   después de la primera visita. Eso permite enlazar JJA 2026 con JJA 2025 por el identificador de</t>
        </is>
      </c>
    </row>
    <row r="43">
      <c r="A43" s="2" t="inlineStr">
        <is>
          <t xml:space="preserve">   persona idrph, siempre en el mismo mes calendario (junio con junio, julio con julio, agosto con agosto).</t>
        </is>
      </c>
    </row>
    <row r="44">
      <c r="A44" s="2" t="inlineStr">
        <is>
          <t>Pares enlazados y validados: 24.955 personas entrevistadas en ambos trimestres móviles.</t>
        </is>
      </c>
    </row>
    <row r="45">
      <c r="A45" s="2" t="inlineStr">
        <is>
          <t>Validación del enlace: se exige mismo sexo y una diferencia de edad de 0 a 2 años entre ambas olas;</t>
        </is>
      </c>
    </row>
    <row r="46">
      <c r="A46" s="2" t="inlineStr">
        <is>
          <t xml:space="preserve">   los pares que no cumplen se descartan.</t>
        </is>
      </c>
    </row>
    <row r="47">
      <c r="A47" s="2" t="inlineStr">
        <is>
          <t>Cobertura: 1.032 de las 4.415 personas desocupadas de JJA 2026 (23.4%) tienen dato de 2025.</t>
        </is>
      </c>
    </row>
    <row r="48">
      <c r="A48" s="2" t="inlineStr">
        <is>
          <t>ADVERTENCIA: la submuestra panel no tiene diseño muestral ni factores de expansión propios. Las cifras</t>
        </is>
      </c>
    </row>
    <row r="49">
      <c r="A49" s="2" t="inlineStr">
        <is>
          <t xml:space="preserve">   expandidas de las hojas Panel_* se calculan con fact_cal de 2026 y son solo indicativas; la lectura</t>
        </is>
      </c>
    </row>
    <row r="50">
      <c r="A50" s="2" t="inlineStr">
        <is>
          <t xml:space="preserve">   recomendada es la distribución porcentual, y no deben presentarse como estimaciones oficiales del INE.</t>
        </is>
      </c>
    </row>
    <row r="51">
      <c r="A51" s="2" t="inlineStr">
        <is>
          <t>Variables de 2025 utilizadas: activ y cae_general (situación laboral); r_p_rev4cl_caenes (rama CAENES);</t>
        </is>
      </c>
    </row>
    <row r="52">
      <c r="A52" s="2" t="inlineStr">
        <is>
          <t xml:space="preserve">   categoria_ocupacion; ocup_form (formalidad); sector (sector institucional); b8 y b9 (contrato).</t>
        </is>
      </c>
    </row>
    <row r="53">
      <c r="A53" s="2" t="inlineStr"/>
    </row>
    <row r="54">
      <c r="A54" s="2" t="inlineStr">
        <is>
          <t>Script que genera este archivo: ene_empleo_microdatos/build_xlsx.py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Resumen - personas desocupadas, ENE JJA 2026</t>
        </is>
      </c>
    </row>
    <row r="3">
      <c r="A3" s="3" t="inlineStr">
        <is>
          <t>Indicador</t>
        </is>
      </c>
      <c r="B3" s="3" t="inlineStr">
        <is>
          <t>Valor</t>
        </is>
      </c>
    </row>
    <row r="4">
      <c r="A4" s="2" t="inlineStr">
        <is>
          <t>Población en edad de trabajar (PET)</t>
        </is>
      </c>
      <c r="B4" s="4" t="n">
        <v>16687796</v>
      </c>
    </row>
    <row r="5">
      <c r="A5" s="2" t="inlineStr">
        <is>
          <t>Fuerza de trabajo</t>
        </is>
      </c>
      <c r="B5" s="4" t="n">
        <v>10263145</v>
      </c>
    </row>
    <row r="6">
      <c r="A6" s="2" t="inlineStr">
        <is>
          <t>Personas ocupadas</t>
        </is>
      </c>
      <c r="B6" s="4" t="n">
        <v>9273745</v>
      </c>
    </row>
    <row r="7">
      <c r="A7" s="2" t="inlineStr">
        <is>
          <t>Personas desocupadas</t>
        </is>
      </c>
      <c r="B7" s="4" t="n">
        <v>989400</v>
      </c>
    </row>
    <row r="8">
      <c r="A8" s="2" t="inlineStr">
        <is>
          <t xml:space="preserve">   Cesantes</t>
        </is>
      </c>
      <c r="B8" s="4" t="n">
        <v>901354</v>
      </c>
    </row>
    <row r="9">
      <c r="A9" s="2" t="inlineStr">
        <is>
          <t xml:space="preserve">   Buscan trabajo por primera vez</t>
        </is>
      </c>
      <c r="B9" s="4" t="n">
        <v>88046</v>
      </c>
    </row>
    <row r="10">
      <c r="A10" s="2" t="inlineStr">
        <is>
          <t>Tasa de desocupación (%)</t>
        </is>
      </c>
      <c r="B10" s="5">
        <f>B7/B5*100</f>
        <v/>
      </c>
    </row>
    <row r="11">
      <c r="A11" s="2" t="inlineStr">
        <is>
          <t>Tasa de cesantía (%)</t>
        </is>
      </c>
      <c r="B11" s="5">
        <f>B8/B5*100</f>
        <v/>
      </c>
    </row>
    <row r="12">
      <c r="A12" s="2" t="inlineStr">
        <is>
          <t>Casos muestrales (total encuesta)</t>
        </is>
      </c>
      <c r="B12" s="4" t="n">
        <v>97529</v>
      </c>
    </row>
    <row r="13">
      <c r="A13" s="2" t="inlineStr">
        <is>
          <t>Casos muestrales (personas desocupadas)</t>
        </is>
      </c>
      <c r="B13" s="4" t="n">
        <v>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sexo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Hombre</t>
        </is>
      </c>
      <c r="B4" s="4" t="n">
        <v>2249</v>
      </c>
      <c r="C4" s="4" t="n">
        <v>523786</v>
      </c>
      <c r="D4" s="5">
        <f>IFERROR(C4/$C$6*100,"")</f>
        <v/>
      </c>
      <c r="E4" s="4" t="n">
        <v>5749390</v>
      </c>
      <c r="F4" s="5">
        <f>IFERROR(C4/E4*100,"")</f>
        <v/>
      </c>
    </row>
    <row r="5">
      <c r="A5" s="2" t="inlineStr">
        <is>
          <t>Mujer</t>
        </is>
      </c>
      <c r="B5" s="4" t="n">
        <v>2166</v>
      </c>
      <c r="C5" s="4" t="n">
        <v>465613</v>
      </c>
      <c r="D5" s="5">
        <f>IFERROR(C5/$C$6*100,"")</f>
        <v/>
      </c>
      <c r="E5" s="4" t="n">
        <v>4513756</v>
      </c>
      <c r="F5" s="5">
        <f>IFERROR(C5/E5*100,"")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  <c r="E6" s="8">
        <f>SUM(E4:E5)</f>
        <v/>
      </c>
      <c r="F6" s="9">
        <f>IFERROR(C6/E6*100,"")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tramo de edad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15 a 19 años</t>
        </is>
      </c>
      <c r="B4" s="4" t="n">
        <v>211</v>
      </c>
      <c r="C4" s="4" t="n">
        <v>45108</v>
      </c>
      <c r="D4" s="5">
        <f>IFERROR(C4/$C$16*100,"")</f>
        <v/>
      </c>
      <c r="E4" s="4" t="n">
        <v>129389</v>
      </c>
      <c r="F4" s="5">
        <f>IFERROR(C4/E4*100,"")</f>
        <v/>
      </c>
    </row>
    <row r="5">
      <c r="A5" s="2" t="inlineStr">
        <is>
          <t>20 a 24 años</t>
        </is>
      </c>
      <c r="B5" s="4" t="n">
        <v>643</v>
      </c>
      <c r="C5" s="4" t="n">
        <v>118506</v>
      </c>
      <c r="D5" s="5">
        <f>IFERROR(C5/$C$16*100,"")</f>
        <v/>
      </c>
      <c r="E5" s="4" t="n">
        <v>587100</v>
      </c>
      <c r="F5" s="5">
        <f>IFERROR(C5/E5*100,"")</f>
        <v/>
      </c>
    </row>
    <row r="6">
      <c r="A6" s="2" t="inlineStr">
        <is>
          <t>25 a 29 años</t>
        </is>
      </c>
      <c r="B6" s="4" t="n">
        <v>700</v>
      </c>
      <c r="C6" s="4" t="n">
        <v>174391</v>
      </c>
      <c r="D6" s="5">
        <f>IFERROR(C6/$C$16*100,"")</f>
        <v/>
      </c>
      <c r="E6" s="4" t="n">
        <v>1126546</v>
      </c>
      <c r="F6" s="5">
        <f>IFERROR(C6/E6*100,"")</f>
        <v/>
      </c>
    </row>
    <row r="7">
      <c r="A7" s="2" t="inlineStr">
        <is>
          <t>30 a 34 años</t>
        </is>
      </c>
      <c r="B7" s="4" t="n">
        <v>499</v>
      </c>
      <c r="C7" s="4" t="n">
        <v>134142</v>
      </c>
      <c r="D7" s="5">
        <f>IFERROR(C7/$C$16*100,"")</f>
        <v/>
      </c>
      <c r="E7" s="4" t="n">
        <v>1405899</v>
      </c>
      <c r="F7" s="5">
        <f>IFERROR(C7/E7*100,"")</f>
        <v/>
      </c>
    </row>
    <row r="8">
      <c r="A8" s="2" t="inlineStr">
        <is>
          <t>35 a 39 años</t>
        </is>
      </c>
      <c r="B8" s="4" t="n">
        <v>460</v>
      </c>
      <c r="C8" s="4" t="n">
        <v>122424</v>
      </c>
      <c r="D8" s="5">
        <f>IFERROR(C8/$C$16*100,"")</f>
        <v/>
      </c>
      <c r="E8" s="4" t="n">
        <v>1425816</v>
      </c>
      <c r="F8" s="5">
        <f>IFERROR(C8/E8*100,"")</f>
        <v/>
      </c>
    </row>
    <row r="9">
      <c r="A9" s="2" t="inlineStr">
        <is>
          <t>40 a 44 años</t>
        </is>
      </c>
      <c r="B9" s="4" t="n">
        <v>398</v>
      </c>
      <c r="C9" s="4" t="n">
        <v>92453</v>
      </c>
      <c r="D9" s="5">
        <f>IFERROR(C9/$C$16*100,"")</f>
        <v/>
      </c>
      <c r="E9" s="4" t="n">
        <v>1249685</v>
      </c>
      <c r="F9" s="5">
        <f>IFERROR(C9/E9*100,"")</f>
        <v/>
      </c>
    </row>
    <row r="10">
      <c r="A10" s="2" t="inlineStr">
        <is>
          <t>45 a 49 años</t>
        </is>
      </c>
      <c r="B10" s="4" t="n">
        <v>376</v>
      </c>
      <c r="C10" s="4" t="n">
        <v>79694</v>
      </c>
      <c r="D10" s="5">
        <f>IFERROR(C10/$C$16*100,"")</f>
        <v/>
      </c>
      <c r="E10" s="4" t="n">
        <v>1123076</v>
      </c>
      <c r="F10" s="5">
        <f>IFERROR(C10/E10*100,"")</f>
        <v/>
      </c>
    </row>
    <row r="11">
      <c r="A11" s="2" t="inlineStr">
        <is>
          <t>50 a 54 años</t>
        </is>
      </c>
      <c r="B11" s="4" t="n">
        <v>366</v>
      </c>
      <c r="C11" s="4" t="n">
        <v>80937</v>
      </c>
      <c r="D11" s="5">
        <f>IFERROR(C11/$C$16*100,"")</f>
        <v/>
      </c>
      <c r="E11" s="4" t="n">
        <v>1002616</v>
      </c>
      <c r="F11" s="5">
        <f>IFERROR(C11/E11*100,"")</f>
        <v/>
      </c>
    </row>
    <row r="12">
      <c r="A12" s="2" t="inlineStr">
        <is>
          <t>55 a 59 años</t>
        </is>
      </c>
      <c r="B12" s="4" t="n">
        <v>329</v>
      </c>
      <c r="C12" s="4" t="n">
        <v>64889</v>
      </c>
      <c r="D12" s="5">
        <f>IFERROR(C12/$C$16*100,"")</f>
        <v/>
      </c>
      <c r="E12" s="4" t="n">
        <v>869813</v>
      </c>
      <c r="F12" s="5">
        <f>IFERROR(C12/E12*100,"")</f>
        <v/>
      </c>
    </row>
    <row r="13">
      <c r="A13" s="2" t="inlineStr">
        <is>
          <t>60 a 64 años</t>
        </is>
      </c>
      <c r="B13" s="4" t="n">
        <v>261</v>
      </c>
      <c r="C13" s="4" t="n">
        <v>46988</v>
      </c>
      <c r="D13" s="5">
        <f>IFERROR(C13/$C$16*100,"")</f>
        <v/>
      </c>
      <c r="E13" s="4" t="n">
        <v>711338</v>
      </c>
      <c r="F13" s="5">
        <f>IFERROR(C13/E13*100,"")</f>
        <v/>
      </c>
    </row>
    <row r="14">
      <c r="A14" s="2" t="inlineStr">
        <is>
          <t>65 a 69 años</t>
        </is>
      </c>
      <c r="B14" s="4" t="n">
        <v>119</v>
      </c>
      <c r="C14" s="4" t="n">
        <v>20897</v>
      </c>
      <c r="D14" s="5">
        <f>IFERROR(C14/$C$16*100,"")</f>
        <v/>
      </c>
      <c r="E14" s="4" t="n">
        <v>368269</v>
      </c>
      <c r="F14" s="5">
        <f>IFERROR(C14/E14*100,"")</f>
        <v/>
      </c>
    </row>
    <row r="15">
      <c r="A15" s="2" t="inlineStr">
        <is>
          <t>70 años o más</t>
        </is>
      </c>
      <c r="B15" s="4" t="n">
        <v>53</v>
      </c>
      <c r="C15" s="4" t="n">
        <v>8971</v>
      </c>
      <c r="D15" s="5">
        <f>IFERROR(C15/$C$16*100,"")</f>
        <v/>
      </c>
      <c r="E15" s="4" t="n">
        <v>263597</v>
      </c>
      <c r="F15" s="5">
        <f>IFERROR(C15/E15*100,"")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9">
        <f>SUM(D4:D15)</f>
        <v/>
      </c>
      <c r="E16" s="8">
        <f>SUM(E4:E15)</f>
        <v/>
      </c>
      <c r="F16" s="9">
        <f>IFERROR(C16/E16*100,"")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región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Arica y Parinacota</t>
        </is>
      </c>
      <c r="B4" s="4" t="n">
        <v>111</v>
      </c>
      <c r="C4" s="4" t="n">
        <v>12282</v>
      </c>
      <c r="D4" s="5">
        <f>IFERROR(C4/$C$20*100,"")</f>
        <v/>
      </c>
      <c r="E4" s="4" t="n">
        <v>130175</v>
      </c>
      <c r="F4" s="5">
        <f>IFERROR(C4/E4*100,"")</f>
        <v/>
      </c>
    </row>
    <row r="5">
      <c r="A5" s="2" t="inlineStr">
        <is>
          <t>Tarapacá</t>
        </is>
      </c>
      <c r="B5" s="4" t="n">
        <v>80</v>
      </c>
      <c r="C5" s="4" t="n">
        <v>16401</v>
      </c>
      <c r="D5" s="5">
        <f>IFERROR(C5/$C$20*100,"")</f>
        <v/>
      </c>
      <c r="E5" s="4" t="n">
        <v>209556</v>
      </c>
      <c r="F5" s="5">
        <f>IFERROR(C5/E5*100,"")</f>
        <v/>
      </c>
    </row>
    <row r="6">
      <c r="A6" s="2" t="inlineStr">
        <is>
          <t>Antofagasta</t>
        </is>
      </c>
      <c r="B6" s="4" t="n">
        <v>123</v>
      </c>
      <c r="C6" s="4" t="n">
        <v>24420</v>
      </c>
      <c r="D6" s="5">
        <f>IFERROR(C6/$C$20*100,"")</f>
        <v/>
      </c>
      <c r="E6" s="4" t="n">
        <v>385629</v>
      </c>
      <c r="F6" s="5">
        <f>IFERROR(C6/E6*100,"")</f>
        <v/>
      </c>
    </row>
    <row r="7">
      <c r="A7" s="2" t="inlineStr">
        <is>
          <t>Atacama</t>
        </is>
      </c>
      <c r="B7" s="4" t="n">
        <v>180</v>
      </c>
      <c r="C7" s="4" t="n">
        <v>15986</v>
      </c>
      <c r="D7" s="5">
        <f>IFERROR(C7/$C$20*100,"")</f>
        <v/>
      </c>
      <c r="E7" s="4" t="n">
        <v>168973</v>
      </c>
      <c r="F7" s="5">
        <f>IFERROR(C7/E7*100,"")</f>
        <v/>
      </c>
    </row>
    <row r="8">
      <c r="A8" s="2" t="inlineStr">
        <is>
          <t>Coquimbo</t>
        </is>
      </c>
      <c r="B8" s="4" t="n">
        <v>234</v>
      </c>
      <c r="C8" s="4" t="n">
        <v>40423</v>
      </c>
      <c r="D8" s="5">
        <f>IFERROR(C8/$C$20*100,"")</f>
        <v/>
      </c>
      <c r="E8" s="4" t="n">
        <v>432069</v>
      </c>
      <c r="F8" s="5">
        <f>IFERROR(C8/E8*100,"")</f>
        <v/>
      </c>
    </row>
    <row r="9">
      <c r="A9" s="2" t="inlineStr">
        <is>
          <t>Valparaíso</t>
        </is>
      </c>
      <c r="B9" s="4" t="n">
        <v>581</v>
      </c>
      <c r="C9" s="4" t="n">
        <v>105391</v>
      </c>
      <c r="D9" s="5">
        <f>IFERROR(C9/$C$20*100,"")</f>
        <v/>
      </c>
      <c r="E9" s="4" t="n">
        <v>1031682</v>
      </c>
      <c r="F9" s="5">
        <f>IFERROR(C9/E9*100,"")</f>
        <v/>
      </c>
    </row>
    <row r="10">
      <c r="A10" s="2" t="inlineStr">
        <is>
          <t>Metropolitana de Santiago</t>
        </is>
      </c>
      <c r="B10" s="4" t="n">
        <v>960</v>
      </c>
      <c r="C10" s="4" t="n">
        <v>447750</v>
      </c>
      <c r="D10" s="5">
        <f>IFERROR(C10/$C$20*100,"")</f>
        <v/>
      </c>
      <c r="E10" s="4" t="n">
        <v>4576149</v>
      </c>
      <c r="F10" s="5">
        <f>IFERROR(C10/E10*100,"")</f>
        <v/>
      </c>
    </row>
    <row r="11">
      <c r="A11" s="2" t="inlineStr">
        <is>
          <t>O'Higgins</t>
        </is>
      </c>
      <c r="B11" s="4" t="n">
        <v>292</v>
      </c>
      <c r="C11" s="4" t="n">
        <v>52634</v>
      </c>
      <c r="D11" s="5">
        <f>IFERROR(C11/$C$20*100,"")</f>
        <v/>
      </c>
      <c r="E11" s="4" t="n">
        <v>487763</v>
      </c>
      <c r="F11" s="5">
        <f>IFERROR(C11/E11*100,"")</f>
        <v/>
      </c>
    </row>
    <row r="12">
      <c r="A12" s="2" t="inlineStr">
        <is>
          <t>Maule</t>
        </is>
      </c>
      <c r="B12" s="4" t="n">
        <v>298</v>
      </c>
      <c r="C12" s="4" t="n">
        <v>51811</v>
      </c>
      <c r="D12" s="5">
        <f>IFERROR(C12/$C$20*100,"")</f>
        <v/>
      </c>
      <c r="E12" s="4" t="n">
        <v>547314</v>
      </c>
      <c r="F12" s="5">
        <f>IFERROR(C12/E12*100,"")</f>
        <v/>
      </c>
    </row>
    <row r="13">
      <c r="A13" s="2" t="inlineStr">
        <is>
          <t>Ñuble</t>
        </is>
      </c>
      <c r="B13" s="4" t="n">
        <v>209</v>
      </c>
      <c r="C13" s="4" t="n">
        <v>26934</v>
      </c>
      <c r="D13" s="5">
        <f>IFERROR(C13/$C$20*100,"")</f>
        <v/>
      </c>
      <c r="E13" s="4" t="n">
        <v>241275</v>
      </c>
      <c r="F13" s="5">
        <f>IFERROR(C13/E13*100,"")</f>
        <v/>
      </c>
    </row>
    <row r="14">
      <c r="A14" s="2" t="inlineStr">
        <is>
          <t>Biobío</t>
        </is>
      </c>
      <c r="B14" s="4" t="n">
        <v>571</v>
      </c>
      <c r="C14" s="4" t="n">
        <v>83997</v>
      </c>
      <c r="D14" s="5">
        <f>IFERROR(C14/$C$20*100,"")</f>
        <v/>
      </c>
      <c r="E14" s="4" t="n">
        <v>786788</v>
      </c>
      <c r="F14" s="5">
        <f>IFERROR(C14/E14*100,"")</f>
        <v/>
      </c>
    </row>
    <row r="15">
      <c r="A15" s="2" t="inlineStr">
        <is>
          <t>La Araucanía</t>
        </is>
      </c>
      <c r="B15" s="4" t="n">
        <v>239</v>
      </c>
      <c r="C15" s="4" t="n">
        <v>48242</v>
      </c>
      <c r="D15" s="5">
        <f>IFERROR(C15/$C$20*100,"")</f>
        <v/>
      </c>
      <c r="E15" s="4" t="n">
        <v>476481</v>
      </c>
      <c r="F15" s="5">
        <f>IFERROR(C15/E15*100,"")</f>
        <v/>
      </c>
    </row>
    <row r="16">
      <c r="A16" s="2" t="inlineStr">
        <is>
          <t>Los Ríos</t>
        </is>
      </c>
      <c r="B16" s="4" t="n">
        <v>197</v>
      </c>
      <c r="C16" s="4" t="n">
        <v>20317</v>
      </c>
      <c r="D16" s="5">
        <f>IFERROR(C16/$C$20*100,"")</f>
        <v/>
      </c>
      <c r="E16" s="4" t="n">
        <v>198868</v>
      </c>
      <c r="F16" s="5">
        <f>IFERROR(C16/E16*100,"")</f>
        <v/>
      </c>
    </row>
    <row r="17">
      <c r="A17" s="2" t="inlineStr">
        <is>
          <t>Los Lagos</t>
        </is>
      </c>
      <c r="B17" s="4" t="n">
        <v>218</v>
      </c>
      <c r="C17" s="4" t="n">
        <v>33098</v>
      </c>
      <c r="D17" s="5">
        <f>IFERROR(C17/$C$20*100,"")</f>
        <v/>
      </c>
      <c r="E17" s="4" t="n">
        <v>424776</v>
      </c>
      <c r="F17" s="5">
        <f>IFERROR(C17/E17*100,"")</f>
        <v/>
      </c>
    </row>
    <row r="18">
      <c r="A18" s="2" t="inlineStr">
        <is>
          <t>Aysén</t>
        </is>
      </c>
      <c r="B18" s="4" t="n">
        <v>49</v>
      </c>
      <c r="C18" s="4" t="n">
        <v>2386</v>
      </c>
      <c r="D18" s="5">
        <f>IFERROR(C18/$C$20*100,"")</f>
        <v/>
      </c>
      <c r="E18" s="4" t="n">
        <v>59449</v>
      </c>
      <c r="F18" s="5">
        <f>IFERROR(C18/E18*100,"")</f>
        <v/>
      </c>
    </row>
    <row r="19">
      <c r="A19" s="2" t="inlineStr">
        <is>
          <t>Magallanes</t>
        </is>
      </c>
      <c r="B19" s="4" t="n">
        <v>73</v>
      </c>
      <c r="C19" s="4" t="n">
        <v>7329</v>
      </c>
      <c r="D19" s="5">
        <f>IFERROR(C19/$C$20*100,"")</f>
        <v/>
      </c>
      <c r="E19" s="4" t="n">
        <v>106197</v>
      </c>
      <c r="F19" s="5">
        <f>IFERROR(C19/E19*100,"")</f>
        <v/>
      </c>
    </row>
    <row r="20">
      <c r="A20" s="7" t="inlineStr">
        <is>
          <t>Total</t>
        </is>
      </c>
      <c r="B20" s="8">
        <f>SUM(B4:B19)</f>
        <v/>
      </c>
      <c r="C20" s="8">
        <f>SUM(C4:C19)</f>
        <v/>
      </c>
      <c r="D20" s="9">
        <f>SUM(D4:D19)</f>
        <v/>
      </c>
      <c r="E20" s="8">
        <f>SUM(E4:E19)</f>
        <v/>
      </c>
      <c r="F20" s="9">
        <f>IFERROR(C20/E20*100,"")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provincia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Arica (Arica y Parinacota)</t>
        </is>
      </c>
      <c r="B4" s="4" t="n">
        <v>110</v>
      </c>
      <c r="C4" s="4" t="n">
        <v>12154</v>
      </c>
      <c r="D4" s="5">
        <f>IFERROR(C4/$C$56*100,"")</f>
        <v/>
      </c>
      <c r="E4" s="4" t="n">
        <v>129289</v>
      </c>
      <c r="F4" s="5">
        <f>IFERROR(C4/E4*100,"")</f>
        <v/>
      </c>
    </row>
    <row r="5">
      <c r="A5" s="2" t="inlineStr">
        <is>
          <t>Parinacota (Arica y Parinacota)</t>
        </is>
      </c>
      <c r="B5" s="4" t="n">
        <v>1</v>
      </c>
      <c r="C5" s="4" t="n">
        <v>127</v>
      </c>
      <c r="D5" s="5">
        <f>IFERROR(C5/$C$56*100,"")</f>
        <v/>
      </c>
      <c r="E5" s="4" t="n">
        <v>886</v>
      </c>
      <c r="F5" s="5">
        <f>IFERROR(C5/E5*100,"")</f>
        <v/>
      </c>
    </row>
    <row r="6">
      <c r="A6" s="2" t="inlineStr">
        <is>
          <t>Iquique (Tarapacá)</t>
        </is>
      </c>
      <c r="B6" s="4" t="n">
        <v>75</v>
      </c>
      <c r="C6" s="4" t="n">
        <v>15918</v>
      </c>
      <c r="D6" s="5">
        <f>IFERROR(C6/$C$56*100,"")</f>
        <v/>
      </c>
      <c r="E6" s="4" t="n">
        <v>194208</v>
      </c>
      <c r="F6" s="5">
        <f>IFERROR(C6/E6*100,"")</f>
        <v/>
      </c>
    </row>
    <row r="7">
      <c r="A7" s="2" t="inlineStr">
        <is>
          <t>Tamarugal (Tarapacá)</t>
        </is>
      </c>
      <c r="B7" s="4" t="n">
        <v>5</v>
      </c>
      <c r="C7" s="4" t="n">
        <v>483</v>
      </c>
      <c r="D7" s="5">
        <f>IFERROR(C7/$C$56*100,"")</f>
        <v/>
      </c>
      <c r="E7" s="4" t="n">
        <v>15348</v>
      </c>
      <c r="F7" s="5">
        <f>IFERROR(C7/E7*100,"")</f>
        <v/>
      </c>
    </row>
    <row r="8">
      <c r="A8" s="2" t="inlineStr">
        <is>
          <t>Antofagasta (Antofagasta)</t>
        </is>
      </c>
      <c r="B8" s="4" t="n">
        <v>71</v>
      </c>
      <c r="C8" s="4" t="n">
        <v>14742</v>
      </c>
      <c r="D8" s="5">
        <f>IFERROR(C8/$C$56*100,"")</f>
        <v/>
      </c>
      <c r="E8" s="4" t="n">
        <v>255407</v>
      </c>
      <c r="F8" s="5">
        <f>IFERROR(C8/E8*100,"")</f>
        <v/>
      </c>
    </row>
    <row r="9">
      <c r="A9" s="2" t="inlineStr">
        <is>
          <t>El Loa (Antofagasta)</t>
        </is>
      </c>
      <c r="B9" s="4" t="n">
        <v>43</v>
      </c>
      <c r="C9" s="4" t="n">
        <v>8605</v>
      </c>
      <c r="D9" s="5">
        <f>IFERROR(C9/$C$56*100,"")</f>
        <v/>
      </c>
      <c r="E9" s="4" t="n">
        <v>113393</v>
      </c>
      <c r="F9" s="5">
        <f>IFERROR(C9/E9*100,"")</f>
        <v/>
      </c>
    </row>
    <row r="10">
      <c r="A10" s="2" t="inlineStr">
        <is>
          <t>Tocopilla (Antofagasta)</t>
        </is>
      </c>
      <c r="B10" s="4" t="n">
        <v>9</v>
      </c>
      <c r="C10" s="4" t="n">
        <v>1072</v>
      </c>
      <c r="D10" s="5">
        <f>IFERROR(C10/$C$56*100,"")</f>
        <v/>
      </c>
      <c r="E10" s="4" t="n">
        <v>16829</v>
      </c>
      <c r="F10" s="5">
        <f>IFERROR(C10/E10*100,"")</f>
        <v/>
      </c>
    </row>
    <row r="11">
      <c r="A11" s="2" t="inlineStr">
        <is>
          <t>Copiapó (Atacama)</t>
        </is>
      </c>
      <c r="B11" s="4" t="n">
        <v>111</v>
      </c>
      <c r="C11" s="4" t="n">
        <v>9688</v>
      </c>
      <c r="D11" s="5">
        <f>IFERROR(C11/$C$56*100,"")</f>
        <v/>
      </c>
      <c r="E11" s="4" t="n">
        <v>110991</v>
      </c>
      <c r="F11" s="5">
        <f>IFERROR(C11/E11*100,"")</f>
        <v/>
      </c>
    </row>
    <row r="12">
      <c r="A12" s="2" t="inlineStr">
        <is>
          <t>Chañaral (Atacama)</t>
        </is>
      </c>
      <c r="B12" s="4" t="n">
        <v>16</v>
      </c>
      <c r="C12" s="4" t="n">
        <v>1338</v>
      </c>
      <c r="D12" s="5">
        <f>IFERROR(C12/$C$56*100,"")</f>
        <v/>
      </c>
      <c r="E12" s="4" t="n">
        <v>15725</v>
      </c>
      <c r="F12" s="5">
        <f>IFERROR(C12/E12*100,"")</f>
        <v/>
      </c>
    </row>
    <row r="13">
      <c r="A13" s="2" t="inlineStr">
        <is>
          <t>Huasco (Atacama)</t>
        </is>
      </c>
      <c r="B13" s="4" t="n">
        <v>53</v>
      </c>
      <c r="C13" s="4" t="n">
        <v>4960</v>
      </c>
      <c r="D13" s="5">
        <f>IFERROR(C13/$C$56*100,"")</f>
        <v/>
      </c>
      <c r="E13" s="4" t="n">
        <v>42258</v>
      </c>
      <c r="F13" s="5">
        <f>IFERROR(C13/E13*100,"")</f>
        <v/>
      </c>
    </row>
    <row r="14">
      <c r="A14" s="2" t="inlineStr">
        <is>
          <t>Elqui (Coquimbo)</t>
        </is>
      </c>
      <c r="B14" s="4" t="n">
        <v>160</v>
      </c>
      <c r="C14" s="4" t="n">
        <v>28369</v>
      </c>
      <c r="D14" s="5">
        <f>IFERROR(C14/$C$56*100,"")</f>
        <v/>
      </c>
      <c r="E14" s="4" t="n">
        <v>296018</v>
      </c>
      <c r="F14" s="5">
        <f>IFERROR(C14/E14*100,"")</f>
        <v/>
      </c>
    </row>
    <row r="15">
      <c r="A15" s="2" t="inlineStr">
        <is>
          <t>Choapa (Coquimbo)</t>
        </is>
      </c>
      <c r="B15" s="4" t="n">
        <v>22</v>
      </c>
      <c r="C15" s="4" t="n">
        <v>2371</v>
      </c>
      <c r="D15" s="5">
        <f>IFERROR(C15/$C$56*100,"")</f>
        <v/>
      </c>
      <c r="E15" s="4" t="n">
        <v>48230</v>
      </c>
      <c r="F15" s="5">
        <f>IFERROR(C15/E15*100,"")</f>
        <v/>
      </c>
    </row>
    <row r="16">
      <c r="A16" s="2" t="inlineStr">
        <is>
          <t>Limarí (Coquimbo)</t>
        </is>
      </c>
      <c r="B16" s="4" t="n">
        <v>52</v>
      </c>
      <c r="C16" s="4" t="n">
        <v>9683</v>
      </c>
      <c r="D16" s="5">
        <f>IFERROR(C16/$C$56*100,"")</f>
        <v/>
      </c>
      <c r="E16" s="4" t="n">
        <v>87821</v>
      </c>
      <c r="F16" s="5">
        <f>IFERROR(C16/E16*100,"")</f>
        <v/>
      </c>
    </row>
    <row r="17">
      <c r="A17" s="2" t="inlineStr">
        <is>
          <t>Valparaíso (Valparaíso)</t>
        </is>
      </c>
      <c r="B17" s="4" t="n">
        <v>271</v>
      </c>
      <c r="C17" s="4" t="n">
        <v>43711</v>
      </c>
      <c r="D17" s="5">
        <f>IFERROR(C17/$C$56*100,"")</f>
        <v/>
      </c>
      <c r="E17" s="4" t="n">
        <v>427690</v>
      </c>
      <c r="F17" s="5">
        <f>IFERROR(C17/E17*100,"")</f>
        <v/>
      </c>
    </row>
    <row r="18">
      <c r="A18" s="2" t="inlineStr">
        <is>
          <t>Los Andes (Valparaíso)</t>
        </is>
      </c>
      <c r="B18" s="4" t="n">
        <v>46</v>
      </c>
      <c r="C18" s="4" t="n">
        <v>11184</v>
      </c>
      <c r="D18" s="5">
        <f>IFERROR(C18/$C$56*100,"")</f>
        <v/>
      </c>
      <c r="E18" s="4" t="n">
        <v>67345</v>
      </c>
      <c r="F18" s="5">
        <f>IFERROR(C18/E18*100,"")</f>
        <v/>
      </c>
    </row>
    <row r="19">
      <c r="A19" s="2" t="inlineStr">
        <is>
          <t>Petorca (Valparaíso)</t>
        </is>
      </c>
      <c r="B19" s="4" t="n">
        <v>29</v>
      </c>
      <c r="C19" s="4" t="n">
        <v>4157</v>
      </c>
      <c r="D19" s="5">
        <f>IFERROR(C19/$C$56*100,"")</f>
        <v/>
      </c>
      <c r="E19" s="4" t="n">
        <v>46040</v>
      </c>
      <c r="F19" s="5">
        <f>IFERROR(C19/E19*100,"")</f>
        <v/>
      </c>
    </row>
    <row r="20">
      <c r="A20" s="2" t="inlineStr">
        <is>
          <t>Quillota (Valparaíso)</t>
        </is>
      </c>
      <c r="B20" s="4" t="n">
        <v>56</v>
      </c>
      <c r="C20" s="4" t="n">
        <v>11375</v>
      </c>
      <c r="D20" s="5">
        <f>IFERROR(C20/$C$56*100,"")</f>
        <v/>
      </c>
      <c r="E20" s="4" t="n">
        <v>111439</v>
      </c>
      <c r="F20" s="5">
        <f>IFERROR(C20/E20*100,"")</f>
        <v/>
      </c>
    </row>
    <row r="21">
      <c r="A21" s="2" t="inlineStr">
        <is>
          <t>San Antonio (Valparaíso)</t>
        </is>
      </c>
      <c r="B21" s="4" t="n">
        <v>25</v>
      </c>
      <c r="C21" s="4" t="n">
        <v>5891</v>
      </c>
      <c r="D21" s="5">
        <f>IFERROR(C21/$C$56*100,"")</f>
        <v/>
      </c>
      <c r="E21" s="4" t="n">
        <v>92040</v>
      </c>
      <c r="F21" s="5">
        <f>IFERROR(C21/E21*100,"")</f>
        <v/>
      </c>
    </row>
    <row r="22">
      <c r="A22" s="2" t="inlineStr">
        <is>
          <t>San Felipe de Aconcagua (Valparaíso)</t>
        </is>
      </c>
      <c r="B22" s="4" t="n">
        <v>41</v>
      </c>
      <c r="C22" s="4" t="n">
        <v>7241</v>
      </c>
      <c r="D22" s="5">
        <f>IFERROR(C22/$C$56*100,"")</f>
        <v/>
      </c>
      <c r="E22" s="4" t="n">
        <v>87989</v>
      </c>
      <c r="F22" s="5">
        <f>IFERROR(C22/E22*100,"")</f>
        <v/>
      </c>
    </row>
    <row r="23">
      <c r="A23" s="2" t="inlineStr">
        <is>
          <t>Marga Marga (Valparaíso)</t>
        </is>
      </c>
      <c r="B23" s="4" t="n">
        <v>113</v>
      </c>
      <c r="C23" s="4" t="n">
        <v>21831</v>
      </c>
      <c r="D23" s="5">
        <f>IFERROR(C23/$C$56*100,"")</f>
        <v/>
      </c>
      <c r="E23" s="4" t="n">
        <v>199139</v>
      </c>
      <c r="F23" s="5">
        <f>IFERROR(C23/E23*100,"")</f>
        <v/>
      </c>
    </row>
    <row r="24">
      <c r="A24" s="2" t="inlineStr">
        <is>
          <t>Santiago (Metropolitana)</t>
        </is>
      </c>
      <c r="B24" s="4" t="n">
        <v>632</v>
      </c>
      <c r="C24" s="4" t="n">
        <v>322041</v>
      </c>
      <c r="D24" s="5">
        <f>IFERROR(C24/$C$56*100,"")</f>
        <v/>
      </c>
      <c r="E24" s="4" t="n">
        <v>3411559</v>
      </c>
      <c r="F24" s="5">
        <f>IFERROR(C24/E24*100,"")</f>
        <v/>
      </c>
    </row>
    <row r="25">
      <c r="A25" s="2" t="inlineStr">
        <is>
          <t>Cordillera (Metropolitana)</t>
        </is>
      </c>
      <c r="B25" s="4" t="n">
        <v>102</v>
      </c>
      <c r="C25" s="4" t="n">
        <v>50844</v>
      </c>
      <c r="D25" s="5">
        <f>IFERROR(C25/$C$56*100,"")</f>
        <v/>
      </c>
      <c r="E25" s="4" t="n">
        <v>382450</v>
      </c>
      <c r="F25" s="5">
        <f>IFERROR(C25/E25*100,"")</f>
        <v/>
      </c>
    </row>
    <row r="26">
      <c r="A26" s="2" t="inlineStr">
        <is>
          <t>Chacabuco (Metropolitana)</t>
        </is>
      </c>
      <c r="B26" s="4" t="n">
        <v>38</v>
      </c>
      <c r="C26" s="4" t="n">
        <v>17590</v>
      </c>
      <c r="D26" s="5">
        <f>IFERROR(C26/$C$56*100,"")</f>
        <v/>
      </c>
      <c r="E26" s="4" t="n">
        <v>200546</v>
      </c>
      <c r="F26" s="5">
        <f>IFERROR(C26/E26*100,"")</f>
        <v/>
      </c>
    </row>
    <row r="27">
      <c r="A27" s="2" t="inlineStr">
        <is>
          <t>Maipo (Metropolitana)</t>
        </is>
      </c>
      <c r="B27" s="4" t="n">
        <v>96</v>
      </c>
      <c r="C27" s="4" t="n">
        <v>32582</v>
      </c>
      <c r="D27" s="5">
        <f>IFERROR(C27/$C$56*100,"")</f>
        <v/>
      </c>
      <c r="E27" s="4" t="n">
        <v>303881</v>
      </c>
      <c r="F27" s="5">
        <f>IFERROR(C27/E27*100,"")</f>
        <v/>
      </c>
    </row>
    <row r="28">
      <c r="A28" s="2" t="inlineStr">
        <is>
          <t>Melipilla (Metropolitana)</t>
        </is>
      </c>
      <c r="B28" s="4" t="n">
        <v>28</v>
      </c>
      <c r="C28" s="4" t="n">
        <v>5443</v>
      </c>
      <c r="D28" s="5">
        <f>IFERROR(C28/$C$56*100,"")</f>
        <v/>
      </c>
      <c r="E28" s="4" t="n">
        <v>100381</v>
      </c>
      <c r="F28" s="5">
        <f>IFERROR(C28/E28*100,"")</f>
        <v/>
      </c>
    </row>
    <row r="29">
      <c r="A29" s="2" t="inlineStr">
        <is>
          <t>Talagante (Metropolitana)</t>
        </is>
      </c>
      <c r="B29" s="4" t="n">
        <v>64</v>
      </c>
      <c r="C29" s="4" t="n">
        <v>19250</v>
      </c>
      <c r="D29" s="5">
        <f>IFERROR(C29/$C$56*100,"")</f>
        <v/>
      </c>
      <c r="E29" s="4" t="n">
        <v>177332</v>
      </c>
      <c r="F29" s="5">
        <f>IFERROR(C29/E29*100,"")</f>
        <v/>
      </c>
    </row>
    <row r="30">
      <c r="A30" s="2" t="inlineStr">
        <is>
          <t>Cachapoal (O'Higgins)</t>
        </is>
      </c>
      <c r="B30" s="4" t="n">
        <v>200</v>
      </c>
      <c r="C30" s="4" t="n">
        <v>37641</v>
      </c>
      <c r="D30" s="5">
        <f>IFERROR(C30/$C$56*100,"")</f>
        <v/>
      </c>
      <c r="E30" s="4" t="n">
        <v>350715</v>
      </c>
      <c r="F30" s="5">
        <f>IFERROR(C30/E30*100,"")</f>
        <v/>
      </c>
    </row>
    <row r="31">
      <c r="A31" s="2" t="inlineStr">
        <is>
          <t>Cardenal Caro (O'Higgins)</t>
        </is>
      </c>
      <c r="B31" s="4" t="n">
        <v>15</v>
      </c>
      <c r="C31" s="4" t="n">
        <v>3730</v>
      </c>
      <c r="D31" s="5">
        <f>IFERROR(C31/$C$56*100,"")</f>
        <v/>
      </c>
      <c r="E31" s="4" t="n">
        <v>22195</v>
      </c>
      <c r="F31" s="5">
        <f>IFERROR(C31/E31*100,"")</f>
        <v/>
      </c>
    </row>
    <row r="32">
      <c r="A32" s="2" t="inlineStr">
        <is>
          <t>Colchagua (O'Higgins)</t>
        </is>
      </c>
      <c r="B32" s="4" t="n">
        <v>77</v>
      </c>
      <c r="C32" s="4" t="n">
        <v>11263</v>
      </c>
      <c r="D32" s="5">
        <f>IFERROR(C32/$C$56*100,"")</f>
        <v/>
      </c>
      <c r="E32" s="4" t="n">
        <v>114853</v>
      </c>
      <c r="F32" s="5">
        <f>IFERROR(C32/E32*100,"")</f>
        <v/>
      </c>
    </row>
    <row r="33">
      <c r="A33" s="2" t="inlineStr">
        <is>
          <t>Talca (Maule)</t>
        </is>
      </c>
      <c r="B33" s="4" t="n">
        <v>91</v>
      </c>
      <c r="C33" s="4" t="n">
        <v>17475</v>
      </c>
      <c r="D33" s="5">
        <f>IFERROR(C33/$C$56*100,"")</f>
        <v/>
      </c>
      <c r="E33" s="4" t="n">
        <v>215705</v>
      </c>
      <c r="F33" s="5">
        <f>IFERROR(C33/E33*100,"")</f>
        <v/>
      </c>
    </row>
    <row r="34">
      <c r="A34" s="2" t="inlineStr">
        <is>
          <t>Cauquenes (Maule)</t>
        </is>
      </c>
      <c r="B34" s="4" t="n">
        <v>19</v>
      </c>
      <c r="C34" s="4" t="n">
        <v>3425</v>
      </c>
      <c r="D34" s="5">
        <f>IFERROR(C34/$C$56*100,"")</f>
        <v/>
      </c>
      <c r="E34" s="4" t="n">
        <v>27567</v>
      </c>
      <c r="F34" s="5">
        <f>IFERROR(C34/E34*100,"")</f>
        <v/>
      </c>
    </row>
    <row r="35">
      <c r="A35" s="2" t="inlineStr">
        <is>
          <t>Curicó (Maule)</t>
        </is>
      </c>
      <c r="B35" s="4" t="n">
        <v>82</v>
      </c>
      <c r="C35" s="4" t="n">
        <v>14565</v>
      </c>
      <c r="D35" s="5">
        <f>IFERROR(C35/$C$56*100,"")</f>
        <v/>
      </c>
      <c r="E35" s="4" t="n">
        <v>154978</v>
      </c>
      <c r="F35" s="5">
        <f>IFERROR(C35/E35*100,"")</f>
        <v/>
      </c>
    </row>
    <row r="36">
      <c r="A36" s="2" t="inlineStr">
        <is>
          <t>Linares (Maule)</t>
        </is>
      </c>
      <c r="B36" s="4" t="n">
        <v>106</v>
      </c>
      <c r="C36" s="4" t="n">
        <v>16345</v>
      </c>
      <c r="D36" s="5">
        <f>IFERROR(C36/$C$56*100,"")</f>
        <v/>
      </c>
      <c r="E36" s="4" t="n">
        <v>149064</v>
      </c>
      <c r="F36" s="5">
        <f>IFERROR(C36/E36*100,"")</f>
        <v/>
      </c>
    </row>
    <row r="37">
      <c r="A37" s="2" t="inlineStr">
        <is>
          <t>Diguillín (Ñuble)</t>
        </is>
      </c>
      <c r="B37" s="4" t="n">
        <v>128</v>
      </c>
      <c r="C37" s="4" t="n">
        <v>17518</v>
      </c>
      <c r="D37" s="5">
        <f>IFERROR(C37/$C$56*100,"")</f>
        <v/>
      </c>
      <c r="E37" s="4" t="n">
        <v>167212</v>
      </c>
      <c r="F37" s="5">
        <f>IFERROR(C37/E37*100,"")</f>
        <v/>
      </c>
    </row>
    <row r="38">
      <c r="A38" s="2" t="inlineStr">
        <is>
          <t>Itata (Ñuble)</t>
        </is>
      </c>
      <c r="B38" s="4" t="n">
        <v>31</v>
      </c>
      <c r="C38" s="4" t="n">
        <v>3318</v>
      </c>
      <c r="D38" s="5">
        <f>IFERROR(C38/$C$56*100,"")</f>
        <v/>
      </c>
      <c r="E38" s="4" t="n">
        <v>24100</v>
      </c>
      <c r="F38" s="5">
        <f>IFERROR(C38/E38*100,"")</f>
        <v/>
      </c>
    </row>
    <row r="39">
      <c r="A39" s="2" t="inlineStr">
        <is>
          <t>Punilla (Ñuble)</t>
        </is>
      </c>
      <c r="B39" s="4" t="n">
        <v>50</v>
      </c>
      <c r="C39" s="4" t="n">
        <v>6098</v>
      </c>
      <c r="D39" s="5">
        <f>IFERROR(C39/$C$56*100,"")</f>
        <v/>
      </c>
      <c r="E39" s="4" t="n">
        <v>49964</v>
      </c>
      <c r="F39" s="5">
        <f>IFERROR(C39/E39*100,"")</f>
        <v/>
      </c>
    </row>
    <row r="40">
      <c r="A40" s="2" t="inlineStr">
        <is>
          <t>Concepción (Biobío)</t>
        </is>
      </c>
      <c r="B40" s="4" t="n">
        <v>353</v>
      </c>
      <c r="C40" s="4" t="n">
        <v>50309</v>
      </c>
      <c r="D40" s="5">
        <f>IFERROR(C40/$C$56*100,"")</f>
        <v/>
      </c>
      <c r="E40" s="4" t="n">
        <v>511883</v>
      </c>
      <c r="F40" s="5">
        <f>IFERROR(C40/E40*100,"")</f>
        <v/>
      </c>
    </row>
    <row r="41">
      <c r="A41" s="2" t="inlineStr">
        <is>
          <t>Arauco (Biobío)</t>
        </is>
      </c>
      <c r="B41" s="4" t="n">
        <v>58</v>
      </c>
      <c r="C41" s="4" t="n">
        <v>8411</v>
      </c>
      <c r="D41" s="5">
        <f>IFERROR(C41/$C$56*100,"")</f>
        <v/>
      </c>
      <c r="E41" s="4" t="n">
        <v>79270</v>
      </c>
      <c r="F41" s="5">
        <f>IFERROR(C41/E41*100,"")</f>
        <v/>
      </c>
    </row>
    <row r="42">
      <c r="A42" s="2" t="inlineStr">
        <is>
          <t>Biobío (Biobío)</t>
        </is>
      </c>
      <c r="B42" s="4" t="n">
        <v>160</v>
      </c>
      <c r="C42" s="4" t="n">
        <v>25276</v>
      </c>
      <c r="D42" s="5">
        <f>IFERROR(C42/$C$56*100,"")</f>
        <v/>
      </c>
      <c r="E42" s="4" t="n">
        <v>195635</v>
      </c>
      <c r="F42" s="5">
        <f>IFERROR(C42/E42*100,"")</f>
        <v/>
      </c>
    </row>
    <row r="43">
      <c r="A43" s="2" t="inlineStr">
        <is>
          <t>Cautín (La Araucanía)</t>
        </is>
      </c>
      <c r="B43" s="4" t="n">
        <v>175</v>
      </c>
      <c r="C43" s="4" t="n">
        <v>36626</v>
      </c>
      <c r="D43" s="5">
        <f>IFERROR(C43/$C$56*100,"")</f>
        <v/>
      </c>
      <c r="E43" s="4" t="n">
        <v>381605</v>
      </c>
      <c r="F43" s="5">
        <f>IFERROR(C43/E43*100,"")</f>
        <v/>
      </c>
    </row>
    <row r="44">
      <c r="A44" s="2" t="inlineStr">
        <is>
          <t>Malleco (La Araucanía)</t>
        </is>
      </c>
      <c r="B44" s="4" t="n">
        <v>64</v>
      </c>
      <c r="C44" s="4" t="n">
        <v>11616</v>
      </c>
      <c r="D44" s="5">
        <f>IFERROR(C44/$C$56*100,"")</f>
        <v/>
      </c>
      <c r="E44" s="4" t="n">
        <v>94877</v>
      </c>
      <c r="F44" s="5">
        <f>IFERROR(C44/E44*100,"")</f>
        <v/>
      </c>
    </row>
    <row r="45">
      <c r="A45" s="2" t="inlineStr">
        <is>
          <t>Valdivia (Los Ríos)</t>
        </is>
      </c>
      <c r="B45" s="4" t="n">
        <v>147</v>
      </c>
      <c r="C45" s="4" t="n">
        <v>16154</v>
      </c>
      <c r="D45" s="5">
        <f>IFERROR(C45/$C$56*100,"")</f>
        <v/>
      </c>
      <c r="E45" s="4" t="n">
        <v>154964</v>
      </c>
      <c r="F45" s="5">
        <f>IFERROR(C45/E45*100,"")</f>
        <v/>
      </c>
    </row>
    <row r="46">
      <c r="A46" s="2" t="inlineStr">
        <is>
          <t>Ranco (Los Ríos)</t>
        </is>
      </c>
      <c r="B46" s="4" t="n">
        <v>50</v>
      </c>
      <c r="C46" s="4" t="n">
        <v>4164</v>
      </c>
      <c r="D46" s="5">
        <f>IFERROR(C46/$C$56*100,"")</f>
        <v/>
      </c>
      <c r="E46" s="4" t="n">
        <v>43904</v>
      </c>
      <c r="F46" s="5">
        <f>IFERROR(C46/E46*100,"")</f>
        <v/>
      </c>
    </row>
    <row r="47">
      <c r="A47" s="2" t="inlineStr">
        <is>
          <t>Llanquihue (Los Lagos)</t>
        </is>
      </c>
      <c r="B47" s="4" t="n">
        <v>148</v>
      </c>
      <c r="C47" s="4" t="n">
        <v>22792</v>
      </c>
      <c r="D47" s="5">
        <f>IFERROR(C47/$C$56*100,"")</f>
        <v/>
      </c>
      <c r="E47" s="4" t="n">
        <v>231196</v>
      </c>
      <c r="F47" s="5">
        <f>IFERROR(C47/E47*100,"")</f>
        <v/>
      </c>
    </row>
    <row r="48">
      <c r="A48" s="2" t="inlineStr">
        <is>
          <t>Chiloé (Los Lagos)</t>
        </is>
      </c>
      <c r="B48" s="4" t="n">
        <v>25</v>
      </c>
      <c r="C48" s="4" t="n">
        <v>3535</v>
      </c>
      <c r="D48" s="5">
        <f>IFERROR(C48/$C$56*100,"")</f>
        <v/>
      </c>
      <c r="E48" s="4" t="n">
        <v>82662</v>
      </c>
      <c r="F48" s="5">
        <f>IFERROR(C48/E48*100,"")</f>
        <v/>
      </c>
    </row>
    <row r="49">
      <c r="A49" s="2" t="inlineStr">
        <is>
          <t>Osorno (Los Lagos)</t>
        </is>
      </c>
      <c r="B49" s="4" t="n">
        <v>45</v>
      </c>
      <c r="C49" s="4" t="n">
        <v>6771</v>
      </c>
      <c r="D49" s="5">
        <f>IFERROR(C49/$C$56*100,"")</f>
        <v/>
      </c>
      <c r="E49" s="4" t="n">
        <v>110918</v>
      </c>
      <c r="F49" s="5">
        <f>IFERROR(C49/E49*100,"")</f>
        <v/>
      </c>
    </row>
    <row r="50">
      <c r="A50" s="2" t="inlineStr">
        <is>
          <t>Coyhaique (Aysén)</t>
        </is>
      </c>
      <c r="B50" s="4" t="n">
        <v>32</v>
      </c>
      <c r="C50" s="4" t="n">
        <v>1518</v>
      </c>
      <c r="D50" s="5">
        <f>IFERROR(C50/$C$56*100,"")</f>
        <v/>
      </c>
      <c r="E50" s="4" t="n">
        <v>35252</v>
      </c>
      <c r="F50" s="5">
        <f>IFERROR(C50/E50*100,"")</f>
        <v/>
      </c>
    </row>
    <row r="51">
      <c r="A51" s="2" t="inlineStr">
        <is>
          <t>Aysén (Aysén)</t>
        </is>
      </c>
      <c r="B51" s="4" t="n">
        <v>13</v>
      </c>
      <c r="C51" s="4" t="n">
        <v>736</v>
      </c>
      <c r="D51" s="5">
        <f>IFERROR(C51/$C$56*100,"")</f>
        <v/>
      </c>
      <c r="E51" s="4" t="n">
        <v>18427</v>
      </c>
      <c r="F51" s="5">
        <f>IFERROR(C51/E51*100,"")</f>
        <v/>
      </c>
    </row>
    <row r="52">
      <c r="A52" s="2" t="inlineStr">
        <is>
          <t>General Carrera (Aysén)</t>
        </is>
      </c>
      <c r="B52" s="4" t="n">
        <v>4</v>
      </c>
      <c r="C52" s="4" t="n">
        <v>133</v>
      </c>
      <c r="D52" s="5">
        <f>IFERROR(C52/$C$56*100,"")</f>
        <v/>
      </c>
      <c r="E52" s="4" t="n">
        <v>3937</v>
      </c>
      <c r="F52" s="5">
        <f>IFERROR(C52/E52*100,"")</f>
        <v/>
      </c>
    </row>
    <row r="53">
      <c r="A53" s="2" t="inlineStr">
        <is>
          <t>Magallanes (Magallanes)</t>
        </is>
      </c>
      <c r="B53" s="4" t="n">
        <v>52</v>
      </c>
      <c r="C53" s="4" t="n">
        <v>5758</v>
      </c>
      <c r="D53" s="5">
        <f>IFERROR(C53/$C$56*100,"")</f>
        <v/>
      </c>
      <c r="E53" s="4" t="n">
        <v>83574</v>
      </c>
      <c r="F53" s="5">
        <f>IFERROR(C53/E53*100,"")</f>
        <v/>
      </c>
    </row>
    <row r="54">
      <c r="A54" s="2" t="inlineStr">
        <is>
          <t>Tierra del Fuego (Magallanes)</t>
        </is>
      </c>
      <c r="B54" s="4" t="n">
        <v>2</v>
      </c>
      <c r="C54" s="4" t="n">
        <v>162</v>
      </c>
      <c r="D54" s="5">
        <f>IFERROR(C54/$C$56*100,"")</f>
        <v/>
      </c>
      <c r="E54" s="4" t="n">
        <v>4574</v>
      </c>
      <c r="F54" s="5">
        <f>IFERROR(C54/E54*100,"")</f>
        <v/>
      </c>
    </row>
    <row r="55">
      <c r="A55" s="2" t="inlineStr">
        <is>
          <t>Última Esperanza (Magallanes)</t>
        </is>
      </c>
      <c r="B55" s="4" t="n">
        <v>19</v>
      </c>
      <c r="C55" s="4" t="n">
        <v>1409</v>
      </c>
      <c r="D55" s="5">
        <f>IFERROR(C55/$C$56*100,"")</f>
        <v/>
      </c>
      <c r="E55" s="4" t="n">
        <v>17371</v>
      </c>
      <c r="F55" s="5">
        <f>IFERROR(C55/E55*100,"")</f>
        <v/>
      </c>
    </row>
    <row r="56">
      <c r="A56" s="7" t="inlineStr">
        <is>
          <t>Total</t>
        </is>
      </c>
      <c r="B56" s="8">
        <f>SUM(B4:B55)</f>
        <v/>
      </c>
      <c r="C56" s="8">
        <f>SUM(C4:C55)</f>
        <v/>
      </c>
      <c r="D56" s="9">
        <f>SUM(D4:D55)</f>
        <v/>
      </c>
      <c r="E56" s="8">
        <f>SUM(E4:E55)</f>
        <v/>
      </c>
      <c r="F56" s="9">
        <f>IFERROR(C56/E56*100,"")</f>
        <v/>
      </c>
    </row>
    <row r="58">
      <c r="A58" s="10" t="inlineStr">
        <is>
          <t>Nota: Nota: la ENE tiene representatividad regional, no provincial. Estas cifras son elaboración propia y no constituyen estimaciones oficiales del INE: en varias provincias el número de casos muestrales de personas desocupadas es muy bajo y la tasa resultante tiene un error muestral alto. Las provincias de Isla de Pascua y Palena no aparecen porque no forman parte de la muestra del trimestre. El nombre de cada provincia va acompañado de su región.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nivel educacional alcanzado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Sin educación formal o básica incompleta</t>
        </is>
      </c>
      <c r="B4" s="4" t="n">
        <v>106</v>
      </c>
      <c r="C4" s="4" t="n">
        <v>16805</v>
      </c>
      <c r="D4" s="5">
        <f>IFERROR(C4/$C$12*100,"")</f>
        <v/>
      </c>
      <c r="E4" s="4" t="n">
        <v>255719</v>
      </c>
      <c r="F4" s="5">
        <f>IFERROR(C4/E4*100,"")</f>
        <v/>
      </c>
    </row>
    <row r="5">
      <c r="A5" s="2" t="inlineStr">
        <is>
          <t>Básica completa o media incompleta</t>
        </is>
      </c>
      <c r="B5" s="4" t="n">
        <v>712</v>
      </c>
      <c r="C5" s="4" t="n">
        <v>134855</v>
      </c>
      <c r="D5" s="5">
        <f>IFERROR(C5/$C$12*100,"")</f>
        <v/>
      </c>
      <c r="E5" s="4" t="n">
        <v>1460909</v>
      </c>
      <c r="F5" s="5">
        <f>IFERROR(C5/E5*100,"")</f>
        <v/>
      </c>
    </row>
    <row r="6">
      <c r="A6" s="2" t="inlineStr">
        <is>
          <t>Media completa</t>
        </is>
      </c>
      <c r="B6" s="4" t="n">
        <v>2126</v>
      </c>
      <c r="C6" s="4" t="n">
        <v>479904</v>
      </c>
      <c r="D6" s="5">
        <f>IFERROR(C6/$C$12*100,"")</f>
        <v/>
      </c>
      <c r="E6" s="4" t="n">
        <v>4213662</v>
      </c>
      <c r="F6" s="5">
        <f>IFERROR(C6/E6*100,"")</f>
        <v/>
      </c>
    </row>
    <row r="7">
      <c r="A7" s="2" t="inlineStr">
        <is>
          <t>Técnica de nivel superior</t>
        </is>
      </c>
      <c r="B7" s="4" t="n">
        <v>540</v>
      </c>
      <c r="C7" s="4" t="n">
        <v>122808</v>
      </c>
      <c r="D7" s="5">
        <f>IFERROR(C7/$C$12*100,"")</f>
        <v/>
      </c>
      <c r="E7" s="4" t="n">
        <v>1405943</v>
      </c>
      <c r="F7" s="5">
        <f>IFERROR(C7/E7*100,"")</f>
        <v/>
      </c>
    </row>
    <row r="8">
      <c r="A8" s="2" t="inlineStr">
        <is>
          <t>Profesional (universitaria)</t>
        </is>
      </c>
      <c r="B8" s="4" t="n">
        <v>893</v>
      </c>
      <c r="C8" s="4" t="n">
        <v>220501</v>
      </c>
      <c r="D8" s="5">
        <f>IFERROR(C8/$C$12*100,"")</f>
        <v/>
      </c>
      <c r="E8" s="4" t="n">
        <v>2618937</v>
      </c>
      <c r="F8" s="5">
        <f>IFERROR(C8/E8*100,"")</f>
        <v/>
      </c>
    </row>
    <row r="9">
      <c r="A9" s="2" t="inlineStr">
        <is>
          <t>Magíster</t>
        </is>
      </c>
      <c r="B9" s="4" t="n">
        <v>31</v>
      </c>
      <c r="C9" s="4" t="n">
        <v>11387</v>
      </c>
      <c r="D9" s="5">
        <f>IFERROR(C9/$C$12*100,"")</f>
        <v/>
      </c>
      <c r="E9" s="4" t="n">
        <v>255194</v>
      </c>
      <c r="F9" s="5">
        <f>IFERROR(C9/E9*100,"")</f>
        <v/>
      </c>
    </row>
    <row r="10">
      <c r="A10" s="2" t="inlineStr">
        <is>
          <t>Doctorado</t>
        </is>
      </c>
      <c r="B10" s="4" t="n">
        <v>1</v>
      </c>
      <c r="C10" s="4" t="n">
        <v>1590</v>
      </c>
      <c r="D10" s="5">
        <f>IFERROR(C10/$C$12*100,"")</f>
        <v/>
      </c>
      <c r="E10" s="4" t="n">
        <v>32466</v>
      </c>
      <c r="F10" s="5">
        <f>IFERROR(C10/E10*100,"")</f>
        <v/>
      </c>
    </row>
    <row r="11">
      <c r="A11" s="2" t="inlineStr">
        <is>
          <t>Nivel no declarado</t>
        </is>
      </c>
      <c r="B11" s="4" t="n">
        <v>6</v>
      </c>
      <c r="C11" s="4" t="n">
        <v>1550</v>
      </c>
      <c r="D11" s="5">
        <f>IFERROR(C11/$C$12*100,"")</f>
        <v/>
      </c>
      <c r="E11" s="4" t="n">
        <v>20314</v>
      </c>
      <c r="F11" s="5">
        <f>IFERROR(C11/E11*100,"")</f>
        <v/>
      </c>
    </row>
    <row r="12">
      <c r="A12" s="7" t="inlineStr">
        <is>
          <t>Total</t>
        </is>
      </c>
      <c r="B12" s="8">
        <f>SUM(B4:B11)</f>
        <v/>
      </c>
      <c r="C12" s="8">
        <f>SUM(C4:C11)</f>
        <v/>
      </c>
      <c r="D12" s="9">
        <f>SUM(D4:D11)</f>
        <v/>
      </c>
      <c r="E12" s="8">
        <f>SUM(E4:E11)</f>
        <v/>
      </c>
      <c r="F12" s="9">
        <f>IFERROR(C12/E12*100,"")</f>
        <v/>
      </c>
    </row>
    <row r="14">
      <c r="A14" s="10" t="inlineStr">
        <is>
          <t>Nota: Clasificación CINE 2011 (variable cine11_1d de la ENE).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nacionalidad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Chilena</t>
        </is>
      </c>
      <c r="B4" s="4" t="n">
        <v>4221</v>
      </c>
      <c r="C4" s="4" t="n">
        <v>914906</v>
      </c>
      <c r="D4" s="5">
        <f>IFERROR(C4/$C$6*100,"")</f>
        <v/>
      </c>
      <c r="E4" s="4" t="n">
        <v>9170983</v>
      </c>
      <c r="F4" s="5">
        <f>IFERROR(C4/E4*100,"")</f>
        <v/>
      </c>
    </row>
    <row r="5">
      <c r="A5" s="2" t="inlineStr">
        <is>
          <t>Extranjera</t>
        </is>
      </c>
      <c r="B5" s="4" t="n">
        <v>194</v>
      </c>
      <c r="C5" s="4" t="n">
        <v>74494</v>
      </c>
      <c r="D5" s="5">
        <f>IFERROR(C5/$C$6*100,"")</f>
        <v/>
      </c>
      <c r="E5" s="4" t="n">
        <v>1092162</v>
      </c>
      <c r="F5" s="5">
        <f>IFERROR(C5/E5*100,"")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  <c r="E6" s="8">
        <f>SUM(E4:E5)</f>
        <v/>
      </c>
      <c r="F6" s="9">
        <f>IFERROR(C6/E6*100,"")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pertenencia a pueblo indígena u originario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Sí</t>
        </is>
      </c>
      <c r="B4" s="4" t="n">
        <v>651</v>
      </c>
      <c r="C4" s="4" t="n">
        <v>124316</v>
      </c>
      <c r="D4" s="5">
        <f>IFERROR(C4/$C$7*100,"")</f>
        <v/>
      </c>
      <c r="E4" s="4" t="n">
        <v>1173110</v>
      </c>
      <c r="F4" s="5">
        <f>IFERROR(C4/E4*100,"")</f>
        <v/>
      </c>
    </row>
    <row r="5">
      <c r="A5" s="2" t="inlineStr">
        <is>
          <t>No</t>
        </is>
      </c>
      <c r="B5" s="4" t="n">
        <v>3754</v>
      </c>
      <c r="C5" s="4" t="n">
        <v>862568</v>
      </c>
      <c r="D5" s="5">
        <f>IFERROR(C5/$C$7*100,"")</f>
        <v/>
      </c>
      <c r="E5" s="4" t="n">
        <v>9068103</v>
      </c>
      <c r="F5" s="5">
        <f>IFERROR(C5/E5*100,"")</f>
        <v/>
      </c>
    </row>
    <row r="6">
      <c r="A6" s="2" t="inlineStr">
        <is>
          <t>No declarado</t>
        </is>
      </c>
      <c r="B6" s="4" t="n">
        <v>10</v>
      </c>
      <c r="C6" s="4" t="n">
        <v>2516</v>
      </c>
      <c r="D6" s="5">
        <f>IFERROR(C6/$C$7*100,"")</f>
        <v/>
      </c>
      <c r="E6" s="4" t="n">
        <v>21932</v>
      </c>
      <c r="F6" s="5">
        <f>IFERROR(C6/E6*100,"")</f>
        <v/>
      </c>
    </row>
    <row r="7">
      <c r="A7" s="7" t="inlineStr">
        <is>
          <t>Total</t>
        </is>
      </c>
      <c r="B7" s="8">
        <f>SUM(B4:B6)</f>
        <v/>
      </c>
      <c r="C7" s="8">
        <f>SUM(C4:C6)</f>
        <v/>
      </c>
      <c r="D7" s="9">
        <f>SUM(D4:D6)</f>
        <v/>
      </c>
      <c r="E7" s="8">
        <f>SUM(E4:E6)</f>
        <v/>
      </c>
      <c r="F7" s="9">
        <f>IFERROR(C7/E7*100,"")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Personas desocupadas según jefatura de hogar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  <c r="E3" s="6" t="inlineStr">
        <is>
          <t>Fuerza de trabajo</t>
        </is>
      </c>
      <c r="F3" s="6" t="inlineStr">
        <is>
          <t>Tasa de desocupación (%)</t>
        </is>
      </c>
    </row>
    <row r="4">
      <c r="A4" s="2" t="inlineStr">
        <is>
          <t>Jefe/a de hogar</t>
        </is>
      </c>
      <c r="B4" s="4" t="n">
        <v>1333</v>
      </c>
      <c r="C4" s="4" t="n">
        <v>296925</v>
      </c>
      <c r="D4" s="5">
        <f>IFERROR(C4/$C$6*100,"")</f>
        <v/>
      </c>
      <c r="E4" s="4" t="n">
        <v>5502151</v>
      </c>
      <c r="F4" s="5">
        <f>IFERROR(C4/E4*100,"")</f>
        <v/>
      </c>
    </row>
    <row r="5">
      <c r="A5" s="2" t="inlineStr">
        <is>
          <t>Otro parentesco</t>
        </is>
      </c>
      <c r="B5" s="4" t="n">
        <v>3082</v>
      </c>
      <c r="C5" s="4" t="n">
        <v>692475</v>
      </c>
      <c r="D5" s="5">
        <f>IFERROR(C5/$C$6*100,"")</f>
        <v/>
      </c>
      <c r="E5" s="4" t="n">
        <v>4760994</v>
      </c>
      <c r="F5" s="5">
        <f>IFERROR(C5/E5*100,"")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  <c r="E6" s="8">
        <f>SUM(E4:E5)</f>
        <v/>
      </c>
      <c r="F6" s="9">
        <f>IFERROR(C6/E6*100,"")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condición: cesante o busca trabajo por primera vez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Cesante</t>
        </is>
      </c>
      <c r="B4" s="4" t="n">
        <v>3985</v>
      </c>
      <c r="C4" s="4" t="n">
        <v>901354</v>
      </c>
      <c r="D4" s="5">
        <f>IFERROR(C4/$C$6*100,"")</f>
        <v/>
      </c>
    </row>
    <row r="5">
      <c r="A5" s="2" t="inlineStr">
        <is>
          <t>Busca trabajo por primera vez</t>
        </is>
      </c>
      <c r="B5" s="4" t="n">
        <v>430</v>
      </c>
      <c r="C5" s="4" t="n">
        <v>88046</v>
      </c>
      <c r="D5" s="5">
        <f>IFERROR(C5/$C$6*100,"")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duración de la búsqueda de empleo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Menos de 3 meses</t>
        </is>
      </c>
      <c r="B4" s="4" t="n">
        <v>1717</v>
      </c>
      <c r="C4" s="4" t="n">
        <v>381784</v>
      </c>
      <c r="D4" s="5">
        <f>IFERROR(C4/$C$10*100,"")</f>
        <v/>
      </c>
    </row>
    <row r="5">
      <c r="A5" s="2" t="inlineStr">
        <is>
          <t>3 a 5 meses</t>
        </is>
      </c>
      <c r="B5" s="4" t="n">
        <v>1123</v>
      </c>
      <c r="C5" s="4" t="n">
        <v>258134</v>
      </c>
      <c r="D5" s="5">
        <f>IFERROR(C5/$C$10*100,"")</f>
        <v/>
      </c>
    </row>
    <row r="6">
      <c r="A6" s="2" t="inlineStr">
        <is>
          <t>6 a 11 meses</t>
        </is>
      </c>
      <c r="B6" s="4" t="n">
        <v>649</v>
      </c>
      <c r="C6" s="4" t="n">
        <v>149077</v>
      </c>
      <c r="D6" s="5">
        <f>IFERROR(C6/$C$10*100,"")</f>
        <v/>
      </c>
    </row>
    <row r="7">
      <c r="A7" s="2" t="inlineStr">
        <is>
          <t>12 a 23 meses</t>
        </is>
      </c>
      <c r="B7" s="4" t="n">
        <v>418</v>
      </c>
      <c r="C7" s="4" t="n">
        <v>91417</v>
      </c>
      <c r="D7" s="5">
        <f>IFERROR(C7/$C$10*100,"")</f>
        <v/>
      </c>
    </row>
    <row r="8">
      <c r="A8" s="2" t="inlineStr">
        <is>
          <t>24 meses o más</t>
        </is>
      </c>
      <c r="B8" s="4" t="n">
        <v>277</v>
      </c>
      <c r="C8" s="4" t="n">
        <v>59859</v>
      </c>
      <c r="D8" s="5">
        <f>IFERROR(C8/$C$10*100,"")</f>
        <v/>
      </c>
    </row>
    <row r="9">
      <c r="A9" s="2" t="inlineStr">
        <is>
          <t>No declarado</t>
        </is>
      </c>
      <c r="B9" s="4" t="n">
        <v>231</v>
      </c>
      <c r="C9" s="4" t="n">
        <v>49129</v>
      </c>
      <c r="D9" s="5">
        <f>IFERROR(C9/$C$10*100,"")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9">
        <f>SUM(D4:D9)</f>
        <v/>
      </c>
    </row>
    <row r="12">
      <c r="A12" s="10" t="inlineStr">
        <is>
          <t>Nota: Meses transcurridos desde que declara haber comenzado a buscar trabajo (e6).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según tiempo transcurrido desde su último empleo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Menos de 3 meses</t>
        </is>
      </c>
      <c r="B4" s="4" t="n">
        <v>1210</v>
      </c>
      <c r="C4" s="4" t="n">
        <v>279199</v>
      </c>
      <c r="D4" s="5">
        <f>IFERROR(C4/$C$10*100,"")</f>
        <v/>
      </c>
    </row>
    <row r="5">
      <c r="A5" s="2" t="inlineStr">
        <is>
          <t>3 a 5 meses</t>
        </is>
      </c>
      <c r="B5" s="4" t="n">
        <v>880</v>
      </c>
      <c r="C5" s="4" t="n">
        <v>195547</v>
      </c>
      <c r="D5" s="5">
        <f>IFERROR(C5/$C$10*100,"")</f>
        <v/>
      </c>
    </row>
    <row r="6">
      <c r="A6" s="2" t="inlineStr">
        <is>
          <t>6 a 11 meses</t>
        </is>
      </c>
      <c r="B6" s="4" t="n">
        <v>691</v>
      </c>
      <c r="C6" s="4" t="n">
        <v>159857</v>
      </c>
      <c r="D6" s="5">
        <f>IFERROR(C6/$C$10*100,"")</f>
        <v/>
      </c>
    </row>
    <row r="7">
      <c r="A7" s="2" t="inlineStr">
        <is>
          <t>12 a 23 meses</t>
        </is>
      </c>
      <c r="B7" s="4" t="n">
        <v>428</v>
      </c>
      <c r="C7" s="4" t="n">
        <v>98792</v>
      </c>
      <c r="D7" s="5">
        <f>IFERROR(C7/$C$10*100,"")</f>
        <v/>
      </c>
    </row>
    <row r="8">
      <c r="A8" s="2" t="inlineStr">
        <is>
          <t>24 meses o más</t>
        </is>
      </c>
      <c r="B8" s="4" t="n">
        <v>330</v>
      </c>
      <c r="C8" s="4" t="n">
        <v>71891</v>
      </c>
      <c r="D8" s="5">
        <f>IFERROR(C8/$C$10*100,"")</f>
        <v/>
      </c>
    </row>
    <row r="9">
      <c r="A9" s="2" t="inlineStr">
        <is>
          <t>No declarado</t>
        </is>
      </c>
      <c r="B9" s="4" t="n">
        <v>446</v>
      </c>
      <c r="C9" s="4" t="n">
        <v>96066</v>
      </c>
      <c r="D9" s="5">
        <f>IFERROR(C9/$C$10*100,"")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9">
        <f>SUM(D4:D9)</f>
        <v/>
      </c>
    </row>
    <row r="12">
      <c r="A12" s="10" t="inlineStr">
        <is>
          <t>Nota: Universo: solo personas cesantes (cae_general = 4). Base: e21.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según motivo de término de su último empleo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Despido</t>
        </is>
      </c>
      <c r="B4" s="4" t="n">
        <v>728</v>
      </c>
      <c r="C4" s="4" t="n">
        <v>188911</v>
      </c>
      <c r="D4" s="5">
        <f>IFERROR(C4/$C$15*100,"")</f>
        <v/>
      </c>
    </row>
    <row r="5">
      <c r="A5" s="2" t="inlineStr">
        <is>
          <t>Renuncia</t>
        </is>
      </c>
      <c r="B5" s="4" t="n">
        <v>544</v>
      </c>
      <c r="C5" s="4" t="n">
        <v>127833</v>
      </c>
      <c r="D5" s="5">
        <f>IFERROR(C5/$C$15*100,"")</f>
        <v/>
      </c>
    </row>
    <row r="6">
      <c r="A6" s="2" t="inlineStr">
        <is>
          <t>Fin del contrato, proyecto, faena, temporada o reemplazo</t>
        </is>
      </c>
      <c r="B6" s="4" t="n">
        <v>2409</v>
      </c>
      <c r="C6" s="4" t="n">
        <v>517182</v>
      </c>
      <c r="D6" s="5">
        <f>IFERROR(C6/$C$15*100,"")</f>
        <v/>
      </c>
    </row>
    <row r="7">
      <c r="A7" s="2" t="inlineStr">
        <is>
          <t>Jubilación</t>
        </is>
      </c>
      <c r="B7" s="4" t="n">
        <v>33</v>
      </c>
      <c r="C7" s="4" t="n">
        <v>7655</v>
      </c>
      <c r="D7" s="5">
        <f>IFERROR(C7/$C$15*100,"")</f>
        <v/>
      </c>
    </row>
    <row r="8">
      <c r="A8" s="2" t="inlineStr">
        <is>
          <t>Término del ejercicio de la actividad por cuenta propia</t>
        </is>
      </c>
      <c r="B8" s="4" t="n">
        <v>182</v>
      </c>
      <c r="C8" s="4" t="n">
        <v>40492</v>
      </c>
      <c r="D8" s="5">
        <f>IFERROR(C8/$C$15*100,"")</f>
        <v/>
      </c>
    </row>
    <row r="9">
      <c r="A9" s="2" t="inlineStr">
        <is>
          <t>Quiebra o cierre de negocio por razones económicas</t>
        </is>
      </c>
      <c r="B9" s="4" t="n">
        <v>53</v>
      </c>
      <c r="C9" s="4" t="n">
        <v>12513</v>
      </c>
      <c r="D9" s="5">
        <f>IFERROR(C9/$C$15*100,"")</f>
        <v/>
      </c>
    </row>
    <row r="10">
      <c r="A10" s="2" t="inlineStr">
        <is>
          <t>Quiebra o cierre de negocio por un fenómeno natural o siniestro</t>
        </is>
      </c>
      <c r="B10" s="4" t="n">
        <v>10</v>
      </c>
      <c r="C10" s="4" t="n">
        <v>1486</v>
      </c>
      <c r="D10" s="5">
        <f>IFERROR(C10/$C$15*100,"")</f>
        <v/>
      </c>
    </row>
    <row r="11">
      <c r="A11" s="2" t="inlineStr">
        <is>
          <t>Quiebra o cierre de negocio por la pandemia del COVID-19</t>
        </is>
      </c>
      <c r="B11" s="4" t="n">
        <v>14</v>
      </c>
      <c r="C11" s="4" t="n">
        <v>1899</v>
      </c>
      <c r="D11" s="5">
        <f>IFERROR(C11/$C$15*100,"")</f>
        <v/>
      </c>
    </row>
    <row r="12">
      <c r="A12" s="2" t="inlineStr">
        <is>
          <t>Imposibilidad de realizar actividad por cuenta propia por la pandemia del COVID-19</t>
        </is>
      </c>
      <c r="B12" s="4" t="n">
        <v>1</v>
      </c>
      <c r="C12" s="4" t="n">
        <v>167</v>
      </c>
      <c r="D12" s="5">
        <f>IFERROR(C12/$C$15*100,"")</f>
        <v/>
      </c>
    </row>
    <row r="13">
      <c r="A13" s="2" t="inlineStr">
        <is>
          <t>No sabe</t>
        </is>
      </c>
      <c r="B13" s="4" t="n">
        <v>8</v>
      </c>
      <c r="C13" s="4" t="n">
        <v>2579</v>
      </c>
      <c r="D13" s="5">
        <f>IFERROR(C13/$C$15*100,"")</f>
        <v/>
      </c>
    </row>
    <row r="14">
      <c r="A14" s="2" t="inlineStr">
        <is>
          <t>No responde</t>
        </is>
      </c>
      <c r="B14" s="4" t="n">
        <v>3</v>
      </c>
      <c r="C14" s="4" t="n">
        <v>638</v>
      </c>
      <c r="D14" s="5">
        <f>IFERROR(C14/$C$15*100,"")</f>
        <v/>
      </c>
    </row>
    <row r="15">
      <c r="A15" s="7" t="inlineStr">
        <is>
          <t>Total</t>
        </is>
      </c>
      <c r="B15" s="8">
        <f>SUM(B4:B14)</f>
        <v/>
      </c>
      <c r="C15" s="8">
        <f>SUM(C4:C14)</f>
        <v/>
      </c>
      <c r="D15" s="9">
        <f>SUM(D4:D14)</f>
        <v/>
      </c>
    </row>
    <row r="17">
      <c r="A17" s="10" t="inlineStr">
        <is>
          <t>Nota: Universo: solo personas cesantes (e22, pregunta E19 del cuestionario). Quienes responden 'despido' detallan el motivo en e23 y quienes responden 'renuncia' lo detallan en e24.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despedidas según motivo del despido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Por razones de edad (muy joven o edad avanzada)</t>
        </is>
      </c>
      <c r="B4" s="4" t="n">
        <v>1</v>
      </c>
      <c r="C4" s="4" t="n">
        <v>122</v>
      </c>
      <c r="D4" s="5">
        <f>IFERROR(C4/$C$16*100,"")</f>
        <v/>
      </c>
    </row>
    <row r="5">
      <c r="A5" s="2" t="inlineStr">
        <is>
          <t>Conflicto con su jefe o superior</t>
        </is>
      </c>
      <c r="B5" s="4" t="n">
        <v>21</v>
      </c>
      <c r="C5" s="4" t="n">
        <v>5132</v>
      </c>
      <c r="D5" s="5">
        <f>IFERROR(C5/$C$16*100,"")</f>
        <v/>
      </c>
    </row>
    <row r="6">
      <c r="A6" s="2" t="inlineStr">
        <is>
          <t>Falta de calificación o capacitación</t>
        </is>
      </c>
      <c r="B6" s="4" t="n">
        <v>3</v>
      </c>
      <c r="C6" s="4" t="n">
        <v>556</v>
      </c>
      <c r="D6" s="5">
        <f>IFERROR(C6/$C$16*100,"")</f>
        <v/>
      </c>
    </row>
    <row r="7">
      <c r="A7" s="2" t="inlineStr">
        <is>
          <t>Ya no hubo más trabajo</t>
        </is>
      </c>
      <c r="B7" s="4" t="n">
        <v>79</v>
      </c>
      <c r="C7" s="4" t="n">
        <v>14228</v>
      </c>
      <c r="D7" s="5">
        <f>IFERROR(C7/$C$16*100,"")</f>
        <v/>
      </c>
    </row>
    <row r="8">
      <c r="A8" s="2" t="inlineStr">
        <is>
          <t>Incumplimiento de funciones</t>
        </is>
      </c>
      <c r="B8" s="4" t="n">
        <v>6</v>
      </c>
      <c r="C8" s="4" t="n">
        <v>935</v>
      </c>
      <c r="D8" s="5">
        <f>IFERROR(C8/$C$16*100,"")</f>
        <v/>
      </c>
    </row>
    <row r="9">
      <c r="A9" s="2" t="inlineStr">
        <is>
          <t>Enfermedad o incapacidad propia</t>
        </is>
      </c>
      <c r="B9" s="4" t="n">
        <v>21</v>
      </c>
      <c r="C9" s="4" t="n">
        <v>5574</v>
      </c>
      <c r="D9" s="5">
        <f>IFERROR(C9/$C$16*100,"")</f>
        <v/>
      </c>
    </row>
    <row r="10">
      <c r="A10" s="2" t="inlineStr">
        <is>
          <t>Embarazo y/o incompatibilidad con cuidado de personas en el hogar</t>
        </is>
      </c>
      <c r="B10" s="4" t="n">
        <v>3</v>
      </c>
      <c r="C10" s="4" t="n">
        <v>730</v>
      </c>
      <c r="D10" s="5">
        <f>IFERROR(C10/$C$16*100,"")</f>
        <v/>
      </c>
    </row>
    <row r="11">
      <c r="A11" s="2" t="inlineStr">
        <is>
          <t>Reducción de personal</t>
        </is>
      </c>
      <c r="B11" s="4" t="n">
        <v>508</v>
      </c>
      <c r="C11" s="4" t="n">
        <v>142751</v>
      </c>
      <c r="D11" s="5">
        <f>IFERROR(C11/$C$16*100,"")</f>
        <v/>
      </c>
    </row>
    <row r="12">
      <c r="A12" s="2" t="inlineStr">
        <is>
          <t>Pandemia del COVID-19</t>
        </is>
      </c>
      <c r="B12" s="4" t="n">
        <v>8</v>
      </c>
      <c r="C12" s="4" t="n">
        <v>1862</v>
      </c>
      <c r="D12" s="5">
        <f>IFERROR(C12/$C$16*100,"")</f>
        <v/>
      </c>
    </row>
    <row r="13">
      <c r="A13" s="2" t="inlineStr">
        <is>
          <t>Otra razón</t>
        </is>
      </c>
      <c r="B13" s="4" t="n">
        <v>68</v>
      </c>
      <c r="C13" s="4" t="n">
        <v>14653</v>
      </c>
      <c r="D13" s="5">
        <f>IFERROR(C13/$C$16*100,"")</f>
        <v/>
      </c>
    </row>
    <row r="14">
      <c r="A14" s="2" t="inlineStr">
        <is>
          <t>No sabe</t>
        </is>
      </c>
      <c r="B14" s="4" t="n">
        <v>5</v>
      </c>
      <c r="C14" s="4" t="n">
        <v>1513</v>
      </c>
      <c r="D14" s="5">
        <f>IFERROR(C14/$C$16*100,"")</f>
        <v/>
      </c>
    </row>
    <row r="15">
      <c r="A15" s="2" t="inlineStr">
        <is>
          <t>No responde</t>
        </is>
      </c>
      <c r="B15" s="4" t="n">
        <v>5</v>
      </c>
      <c r="C15" s="4" t="n">
        <v>856</v>
      </c>
      <c r="D15" s="5">
        <f>IFERROR(C15/$C$16*100,"")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9">
        <f>SUM(D4:D15)</f>
        <v/>
      </c>
    </row>
    <row r="18">
      <c r="A18" s="10" t="inlineStr">
        <is>
          <t>Nota: Universo: personas cesantes cuyo último empleo terminó por despido (e22 = 1). Variable e23. Pregunta incorporada a partir del trimestre JJA 2020, recomendada por la OIT en el contexto del impacto de la pandemia de COVID-19 sobre la población no ocupada (INE, 2020c).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cesantes que renunciaron según motivo de la renuncia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Realizar estudios o recibir formación</t>
        </is>
      </c>
      <c r="B4" s="4" t="n">
        <v>70</v>
      </c>
      <c r="C4" s="4" t="n">
        <v>15149</v>
      </c>
      <c r="D4" s="5">
        <f>IFERROR(C4/$C$16*100,"")</f>
        <v/>
      </c>
    </row>
    <row r="5">
      <c r="A5" s="2" t="inlineStr">
        <is>
          <t>Cuidado de niños o de adultos enfermos o incapacitados</t>
        </is>
      </c>
      <c r="B5" s="4" t="n">
        <v>103</v>
      </c>
      <c r="C5" s="4" t="n">
        <v>24492</v>
      </c>
      <c r="D5" s="5">
        <f>IFERROR(C5/$C$16*100,"")</f>
        <v/>
      </c>
    </row>
    <row r="6">
      <c r="A6" s="2" t="inlineStr">
        <is>
          <t>Motivos de salud</t>
        </is>
      </c>
      <c r="B6" s="4" t="n">
        <v>74</v>
      </c>
      <c r="C6" s="4" t="n">
        <v>16355</v>
      </c>
      <c r="D6" s="5">
        <f>IFERROR(C6/$C$16*100,"")</f>
        <v/>
      </c>
    </row>
    <row r="7">
      <c r="A7" s="2" t="inlineStr">
        <is>
          <t>Deseaba un trabajo con mayores ingresos</t>
        </is>
      </c>
      <c r="B7" s="4" t="n">
        <v>25</v>
      </c>
      <c r="C7" s="4" t="n">
        <v>6443</v>
      </c>
      <c r="D7" s="5">
        <f>IFERROR(C7/$C$16*100,"")</f>
        <v/>
      </c>
    </row>
    <row r="8">
      <c r="A8" s="2" t="inlineStr">
        <is>
          <t>Para mejorar su calidad de vida</t>
        </is>
      </c>
      <c r="B8" s="4" t="n">
        <v>48</v>
      </c>
      <c r="C8" s="4" t="n">
        <v>10513</v>
      </c>
      <c r="D8" s="5">
        <f>IFERROR(C8/$C$16*100,"")</f>
        <v/>
      </c>
    </row>
    <row r="9">
      <c r="A9" s="2" t="inlineStr">
        <is>
          <t>Acoso o falta de respeto a su persona</t>
        </is>
      </c>
      <c r="B9" s="4" t="n">
        <v>40</v>
      </c>
      <c r="C9" s="4" t="n">
        <v>8362</v>
      </c>
      <c r="D9" s="5">
        <f>IFERROR(C9/$C$16*100,"")</f>
        <v/>
      </c>
    </row>
    <row r="10">
      <c r="A10" s="2" t="inlineStr">
        <is>
          <t>Embarazo</t>
        </is>
      </c>
      <c r="B10" s="4" t="n">
        <v>27</v>
      </c>
      <c r="C10" s="4" t="n">
        <v>5639</v>
      </c>
      <c r="D10" s="5">
        <f>IFERROR(C10/$C$16*100,"")</f>
        <v/>
      </c>
    </row>
    <row r="11">
      <c r="A11" s="2" t="inlineStr">
        <is>
          <t>Se cansó de ese trabajo</t>
        </is>
      </c>
      <c r="B11" s="4" t="n">
        <v>64</v>
      </c>
      <c r="C11" s="4" t="n">
        <v>18053</v>
      </c>
      <c r="D11" s="5">
        <f>IFERROR(C11/$C$16*100,"")</f>
        <v/>
      </c>
    </row>
    <row r="12">
      <c r="A12" s="2" t="inlineStr">
        <is>
          <t>Pandemia del COVID-19</t>
        </is>
      </c>
      <c r="B12" s="4" t="n">
        <v>1</v>
      </c>
      <c r="C12" s="4" t="n">
        <v>219</v>
      </c>
      <c r="D12" s="5">
        <f>IFERROR(C12/$C$16*100,"")</f>
        <v/>
      </c>
    </row>
    <row r="13">
      <c r="A13" s="2" t="inlineStr">
        <is>
          <t>Otra razón</t>
        </is>
      </c>
      <c r="B13" s="4" t="n">
        <v>89</v>
      </c>
      <c r="C13" s="4" t="n">
        <v>22034</v>
      </c>
      <c r="D13" s="5">
        <f>IFERROR(C13/$C$16*100,"")</f>
        <v/>
      </c>
    </row>
    <row r="14">
      <c r="A14" s="2" t="inlineStr">
        <is>
          <t>No sabe</t>
        </is>
      </c>
      <c r="B14" s="4" t="n">
        <v>2</v>
      </c>
      <c r="C14" s="4" t="n">
        <v>237</v>
      </c>
      <c r="D14" s="5">
        <f>IFERROR(C14/$C$16*100,"")</f>
        <v/>
      </c>
    </row>
    <row r="15">
      <c r="A15" s="2" t="inlineStr">
        <is>
          <t>No responde</t>
        </is>
      </c>
      <c r="B15" s="4" t="n">
        <v>1</v>
      </c>
      <c r="C15" s="4" t="n">
        <v>336</v>
      </c>
      <c r="D15" s="5">
        <f>IFERROR(C15/$C$16*100,"")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9">
        <f>SUM(D4:D15)</f>
        <v/>
      </c>
    </row>
    <row r="18">
      <c r="A18" s="10" t="inlineStr">
        <is>
          <t>Nota: Universo: personas cesantes cuyo último empleo terminó por renuncia (e22 = 2). Variable e24. Pregunta incorporada a partir del trimestre JJA 2020, recomendada por la OIT en el contexto del impacto de la pandemia de COVID-19 sobre la población no ocupada (INE, 2020c).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tipo de jornada buscada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Jornada completa</t>
        </is>
      </c>
      <c r="B4" s="4" t="n">
        <v>1945</v>
      </c>
      <c r="C4" s="4" t="n">
        <v>457662</v>
      </c>
      <c r="D4" s="5">
        <f>IFERROR(C4/$C$9*100,"")</f>
        <v/>
      </c>
    </row>
    <row r="5">
      <c r="A5" s="2" t="inlineStr">
        <is>
          <t>Jornada parcial</t>
        </is>
      </c>
      <c r="B5" s="4" t="n">
        <v>534</v>
      </c>
      <c r="C5" s="4" t="n">
        <v>139669</v>
      </c>
      <c r="D5" s="5">
        <f>IFERROR(C5/$C$9*100,"")</f>
        <v/>
      </c>
    </row>
    <row r="6">
      <c r="A6" s="2" t="inlineStr">
        <is>
          <t>Indistinto</t>
        </is>
      </c>
      <c r="B6" s="4" t="n">
        <v>1859</v>
      </c>
      <c r="C6" s="4" t="n">
        <v>375034</v>
      </c>
      <c r="D6" s="5">
        <f>IFERROR(C6/$C$9*100,"")</f>
        <v/>
      </c>
    </row>
    <row r="7">
      <c r="A7" s="2" t="inlineStr">
        <is>
          <t>No sabe</t>
        </is>
      </c>
      <c r="B7" s="4" t="n">
        <v>8</v>
      </c>
      <c r="C7" s="4" t="n">
        <v>3688</v>
      </c>
      <c r="D7" s="5">
        <f>IFERROR(C7/$C$9*100,"")</f>
        <v/>
      </c>
    </row>
    <row r="8">
      <c r="A8" s="2" t="inlineStr">
        <is>
          <t>No responde</t>
        </is>
      </c>
      <c r="B8" s="4" t="n">
        <v>69</v>
      </c>
      <c r="C8" s="4" t="n">
        <v>13347</v>
      </c>
      <c r="D8" s="5">
        <f>IFERROR(C8/$C$9*100,"")</f>
        <v/>
      </c>
    </row>
    <row r="9">
      <c r="A9" s="7" t="inlineStr">
        <is>
          <t>Total</t>
        </is>
      </c>
      <c r="B9" s="8">
        <f>SUM(B4:B8)</f>
        <v/>
      </c>
      <c r="C9" s="8">
        <f>SUM(C4:C8)</f>
        <v/>
      </c>
      <c r="D9" s="9">
        <f>SUM(D4:D8)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Personas desocupadas según gestiones de búsqueda realizadas -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del total de desocupados</t>
        </is>
      </c>
    </row>
    <row r="4">
      <c r="A4" s="2" t="inlineStr">
        <is>
          <t>Envió CV a empresas o instituciones</t>
        </is>
      </c>
      <c r="B4" s="4" t="n">
        <v>2898</v>
      </c>
      <c r="C4" s="4" t="n">
        <v>624176</v>
      </c>
      <c r="D4" s="5">
        <f>IFERROR(C4/$C$16*100,"")</f>
        <v/>
      </c>
    </row>
    <row r="5">
      <c r="A5" s="2" t="inlineStr">
        <is>
          <t>Revisó y contestó anuncios</t>
        </is>
      </c>
      <c r="B5" s="4" t="n">
        <v>2238</v>
      </c>
      <c r="C5" s="4" t="n">
        <v>554255</v>
      </c>
      <c r="D5" s="5">
        <f>IFERROR(C5/$C$16*100,"")</f>
        <v/>
      </c>
    </row>
    <row r="6">
      <c r="A6" s="2" t="inlineStr">
        <is>
          <t>Pidió a conocidos o familiares que le avisaran</t>
        </is>
      </c>
      <c r="B6" s="4" t="n">
        <v>1839</v>
      </c>
      <c r="C6" s="4" t="n">
        <v>393922</v>
      </c>
      <c r="D6" s="5">
        <f>IFERROR(C6/$C$16*100,"")</f>
        <v/>
      </c>
    </row>
    <row r="7">
      <c r="A7" s="2" t="inlineStr">
        <is>
          <t>Consultó directamente con empleadores</t>
        </is>
      </c>
      <c r="B7" s="4" t="n">
        <v>1686</v>
      </c>
      <c r="C7" s="4" t="n">
        <v>331688</v>
      </c>
      <c r="D7" s="5">
        <f>IFERROR(C7/$C$16*100,"")</f>
        <v/>
      </c>
    </row>
    <row r="8">
      <c r="A8" s="2" t="inlineStr">
        <is>
          <t>Se inscribió o revisó anuncios en la OMIL</t>
        </is>
      </c>
      <c r="B8" s="4" t="n">
        <v>482</v>
      </c>
      <c r="C8" s="4" t="n">
        <v>111372</v>
      </c>
      <c r="D8" s="5">
        <f>IFERROR(C8/$C$16*100,"")</f>
        <v/>
      </c>
    </row>
    <row r="9">
      <c r="A9" s="2" t="inlineStr">
        <is>
          <t>Actualizó su CV publicado en internet</t>
        </is>
      </c>
      <c r="B9" s="4" t="n">
        <v>216</v>
      </c>
      <c r="C9" s="4" t="n">
        <v>57302</v>
      </c>
      <c r="D9" s="5">
        <f>IFERROR(C9/$C$16*100,"")</f>
        <v/>
      </c>
    </row>
    <row r="10">
      <c r="A10" s="2" t="inlineStr">
        <is>
          <t>Participó en una prueba o entrevista</t>
        </is>
      </c>
      <c r="B10" s="4" t="n">
        <v>178</v>
      </c>
      <c r="C10" s="4" t="n">
        <v>43192</v>
      </c>
      <c r="D10" s="5">
        <f>IFERROR(C10/$C$16*100,"")</f>
        <v/>
      </c>
    </row>
    <row r="11">
      <c r="A11" s="2" t="inlineStr">
        <is>
          <t>Puso anuncios</t>
        </is>
      </c>
      <c r="B11" s="4" t="n">
        <v>133</v>
      </c>
      <c r="C11" s="4" t="n">
        <v>40732</v>
      </c>
      <c r="D11" s="5">
        <f>IFERROR(C11/$C$16*100,"")</f>
        <v/>
      </c>
    </row>
    <row r="12">
      <c r="A12" s="2" t="inlineStr">
        <is>
          <t>Estuvo buscando clientes o pedidos</t>
        </is>
      </c>
      <c r="B12" s="4" t="n">
        <v>97</v>
      </c>
      <c r="C12" s="4" t="n">
        <v>22197</v>
      </c>
      <c r="D12" s="5">
        <f>IFERROR(C12/$C$16*100,"")</f>
        <v/>
      </c>
    </row>
    <row r="13">
      <c r="A13" s="2" t="inlineStr">
        <is>
          <t>Realizó gestiones para establecerse por su cuenta</t>
        </is>
      </c>
      <c r="B13" s="4" t="n">
        <v>98</v>
      </c>
      <c r="C13" s="4" t="n">
        <v>20951</v>
      </c>
      <c r="D13" s="5">
        <f>IFERROR(C13/$C$16*100,"")</f>
        <v/>
      </c>
    </row>
    <row r="14">
      <c r="A14" s="2" t="inlineStr">
        <is>
          <t>Consultó con agencias de empleo</t>
        </is>
      </c>
      <c r="B14" s="4" t="n">
        <v>33</v>
      </c>
      <c r="C14" s="4" t="n">
        <v>10316</v>
      </c>
      <c r="D14" s="5">
        <f>IFERROR(C14/$C$16*100,"")</f>
        <v/>
      </c>
    </row>
    <row r="15">
      <c r="A15" s="2" t="inlineStr">
        <is>
          <t>Ninguna de las anteriores</t>
        </is>
      </c>
      <c r="B15" s="4" t="n">
        <v>0</v>
      </c>
      <c r="C15" s="4" t="n">
        <v>0</v>
      </c>
      <c r="D15" s="5">
        <f>IFERROR(C15/$C$16*100,"")</f>
        <v/>
      </c>
    </row>
    <row r="16">
      <c r="A16" s="7" t="inlineStr">
        <is>
          <t>Total de personas desocupadas</t>
        </is>
      </c>
      <c r="B16" s="8" t="n">
        <v>4415</v>
      </c>
      <c r="C16" s="8">
        <f>Resumen!B7</f>
        <v/>
      </c>
      <c r="D16" s="9">
        <f>IFERROR(C16/$C$16*100,"")</f>
        <v/>
      </c>
    </row>
    <row r="18">
      <c r="A18" s="10" t="inlineStr">
        <is>
          <t>Nota: Respuesta múltiple: una persona puede declarar varias gestiones, por lo que los porcentajes no suman 100. El denominador es el total de personas desocupadas.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¿En qué situación estaban en JJA 2025 las personas desocupadas de JJA 2026?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las personas enlazadas</t>
        </is>
      </c>
    </row>
    <row r="4">
      <c r="A4" s="2" t="inlineStr">
        <is>
          <t>Ocupado/a</t>
        </is>
      </c>
      <c r="B4" s="4" t="n">
        <v>456</v>
      </c>
      <c r="C4" s="4" t="n">
        <v>87824</v>
      </c>
      <c r="D4" s="5">
        <f>IFERROR(C4/$C$9*100,"")</f>
        <v/>
      </c>
    </row>
    <row r="5">
      <c r="A5" s="2" t="inlineStr">
        <is>
          <t>Desocupado/a: cesante</t>
        </is>
      </c>
      <c r="B5" s="4" t="n">
        <v>215</v>
      </c>
      <c r="C5" s="4" t="n">
        <v>43545</v>
      </c>
      <c r="D5" s="5">
        <f>IFERROR(C5/$C$9*100,"")</f>
        <v/>
      </c>
    </row>
    <row r="6">
      <c r="A6" s="2" t="inlineStr">
        <is>
          <t>Desocupado/a: busca trabajo por primera vez</t>
        </is>
      </c>
      <c r="B6" s="4" t="n">
        <v>15</v>
      </c>
      <c r="C6" s="4" t="n">
        <v>1983</v>
      </c>
      <c r="D6" s="5">
        <f>IFERROR(C6/$C$9*100,"")</f>
        <v/>
      </c>
    </row>
    <row r="7">
      <c r="A7" s="2" t="inlineStr">
        <is>
          <t>Fuera de la fuerza de trabajo: fuerza de trabajo potencial</t>
        </is>
      </c>
      <c r="B7" s="4" t="n">
        <v>159</v>
      </c>
      <c r="C7" s="4" t="n">
        <v>28433</v>
      </c>
      <c r="D7" s="5">
        <f>IFERROR(C7/$C$9*100,"")</f>
        <v/>
      </c>
    </row>
    <row r="8">
      <c r="A8" s="2" t="inlineStr">
        <is>
          <t>Fuera de la fuerza de trabajo: resto</t>
        </is>
      </c>
      <c r="B8" s="4" t="n">
        <v>187</v>
      </c>
      <c r="C8" s="4" t="n">
        <v>35229</v>
      </c>
      <c r="D8" s="5">
        <f>IFERROR(C8/$C$9*100,"")</f>
        <v/>
      </c>
    </row>
    <row r="9">
      <c r="A9" s="7" t="inlineStr">
        <is>
          <t>Total</t>
        </is>
      </c>
      <c r="B9" s="8">
        <f>SUM(B4:B8)</f>
        <v/>
      </c>
      <c r="C9" s="8">
        <f>SUM(C4:C8)</f>
        <v/>
      </c>
      <c r="D9" s="9">
        <f>SUM(D4:D8)</f>
        <v/>
      </c>
    </row>
    <row r="11">
      <c r="A11" s="10" t="inlineStr">
        <is>
          <t>Nota: Panel ENE: 1.032 de las 4.415 personas desocupadas de JJA 2026 (23.4%) también fueron entrevistadas en JJA 2025. La submuestra panel no tiene diseño ni factores de expansión propios, por lo que las cifras expandidas son indicativas y no constituyen estimaciones oficiales; el porcentaje es la lectura recomendada. Fuerza de trabajo potencial: personas fuera de la fuerza de trabajo disponibles para trabajar o que buscaron sin estar disponibles (cae_general 6 a 8).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Rama de actividad en JJA 2025 de quienes están desocupados/as en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A. Agricultura, ganadería, silvicultura y pesca</t>
        </is>
      </c>
      <c r="B4" s="4" t="n">
        <v>43</v>
      </c>
      <c r="C4" s="4" t="n">
        <v>5534</v>
      </c>
      <c r="D4" s="5">
        <f>IFERROR(C4/$C$24*100,"")</f>
        <v/>
      </c>
    </row>
    <row r="5">
      <c r="A5" s="2" t="inlineStr">
        <is>
          <t>B. Explotación de minas y canteras</t>
        </is>
      </c>
      <c r="B5" s="4" t="n">
        <v>8</v>
      </c>
      <c r="C5" s="4" t="n">
        <v>953</v>
      </c>
      <c r="D5" s="5">
        <f>IFERROR(C5/$C$24*100,"")</f>
        <v/>
      </c>
    </row>
    <row r="6">
      <c r="A6" s="2" t="inlineStr">
        <is>
          <t>C. Industrias manufactureras</t>
        </is>
      </c>
      <c r="B6" s="4" t="n">
        <v>51</v>
      </c>
      <c r="C6" s="4" t="n">
        <v>9847</v>
      </c>
      <c r="D6" s="5">
        <f>IFERROR(C6/$C$24*100,"")</f>
        <v/>
      </c>
    </row>
    <row r="7">
      <c r="A7" s="2" t="inlineStr">
        <is>
          <t>E. Suministro de agua y gestión de desechos</t>
        </is>
      </c>
      <c r="B7" s="4" t="n">
        <v>2</v>
      </c>
      <c r="C7" s="4" t="n">
        <v>162</v>
      </c>
      <c r="D7" s="5">
        <f>IFERROR(C7/$C$24*100,"")</f>
        <v/>
      </c>
    </row>
    <row r="8">
      <c r="A8" s="2" t="inlineStr">
        <is>
          <t>F. Construcción</t>
        </is>
      </c>
      <c r="B8" s="4" t="n">
        <v>71</v>
      </c>
      <c r="C8" s="4" t="n">
        <v>12429</v>
      </c>
      <c r="D8" s="5">
        <f>IFERROR(C8/$C$24*100,"")</f>
        <v/>
      </c>
    </row>
    <row r="9">
      <c r="A9" s="2" t="inlineStr">
        <is>
          <t>G. Comercio al por mayor y al por menor; reparación de vehículos</t>
        </is>
      </c>
      <c r="B9" s="4" t="n">
        <v>86</v>
      </c>
      <c r="C9" s="4" t="n">
        <v>17457</v>
      </c>
      <c r="D9" s="5">
        <f>IFERROR(C9/$C$24*100,"")</f>
        <v/>
      </c>
    </row>
    <row r="10">
      <c r="A10" s="2" t="inlineStr">
        <is>
          <t>H. Transporte y almacenamiento</t>
        </is>
      </c>
      <c r="B10" s="4" t="n">
        <v>23</v>
      </c>
      <c r="C10" s="4" t="n">
        <v>5214</v>
      </c>
      <c r="D10" s="5">
        <f>IFERROR(C10/$C$24*100,"")</f>
        <v/>
      </c>
    </row>
    <row r="11">
      <c r="A11" s="2" t="inlineStr">
        <is>
          <t>I. Alojamiento y servicio de comidas</t>
        </is>
      </c>
      <c r="B11" s="4" t="n">
        <v>22</v>
      </c>
      <c r="C11" s="4" t="n">
        <v>4338</v>
      </c>
      <c r="D11" s="5">
        <f>IFERROR(C11/$C$24*100,"")</f>
        <v/>
      </c>
    </row>
    <row r="12">
      <c r="A12" s="2" t="inlineStr">
        <is>
          <t>J. Información y comunicaciones</t>
        </is>
      </c>
      <c r="B12" s="4" t="n">
        <v>5</v>
      </c>
      <c r="C12" s="4" t="n">
        <v>1103</v>
      </c>
      <c r="D12" s="5">
        <f>IFERROR(C12/$C$24*100,"")</f>
        <v/>
      </c>
    </row>
    <row r="13">
      <c r="A13" s="2" t="inlineStr">
        <is>
          <t>K. Actividades financieras y de seguros</t>
        </is>
      </c>
      <c r="B13" s="4" t="n">
        <v>3</v>
      </c>
      <c r="C13" s="4" t="n">
        <v>808</v>
      </c>
      <c r="D13" s="5">
        <f>IFERROR(C13/$C$24*100,"")</f>
        <v/>
      </c>
    </row>
    <row r="14">
      <c r="A14" s="2" t="inlineStr">
        <is>
          <t>L. Actividades inmobiliarias</t>
        </is>
      </c>
      <c r="B14" s="4" t="n">
        <v>2</v>
      </c>
      <c r="C14" s="4" t="n">
        <v>206</v>
      </c>
      <c r="D14" s="5">
        <f>IFERROR(C14/$C$24*100,"")</f>
        <v/>
      </c>
    </row>
    <row r="15">
      <c r="A15" s="2" t="inlineStr">
        <is>
          <t>M. Actividades profesionales, científicas y técnicas</t>
        </is>
      </c>
      <c r="B15" s="4" t="n">
        <v>7</v>
      </c>
      <c r="C15" s="4" t="n">
        <v>1222</v>
      </c>
      <c r="D15" s="5">
        <f>IFERROR(C15/$C$24*100,"")</f>
        <v/>
      </c>
    </row>
    <row r="16">
      <c r="A16" s="2" t="inlineStr">
        <is>
          <t>N. Actividades de servicios administrativos y de apoyo</t>
        </is>
      </c>
      <c r="B16" s="4" t="n">
        <v>35</v>
      </c>
      <c r="C16" s="4" t="n">
        <v>7214</v>
      </c>
      <c r="D16" s="5">
        <f>IFERROR(C16/$C$24*100,"")</f>
        <v/>
      </c>
    </row>
    <row r="17">
      <c r="A17" s="2" t="inlineStr">
        <is>
          <t>O. Administración pública y defensa</t>
        </is>
      </c>
      <c r="B17" s="4" t="n">
        <v>20</v>
      </c>
      <c r="C17" s="4" t="n">
        <v>4137</v>
      </c>
      <c r="D17" s="5">
        <f>IFERROR(C17/$C$24*100,"")</f>
        <v/>
      </c>
    </row>
    <row r="18">
      <c r="A18" s="2" t="inlineStr">
        <is>
          <t>P. Enseñanza</t>
        </is>
      </c>
      <c r="B18" s="4" t="n">
        <v>27</v>
      </c>
      <c r="C18" s="4" t="n">
        <v>5842</v>
      </c>
      <c r="D18" s="5">
        <f>IFERROR(C18/$C$24*100,"")</f>
        <v/>
      </c>
    </row>
    <row r="19">
      <c r="A19" s="2" t="inlineStr">
        <is>
          <t>Q. Salud humana y asistencia social</t>
        </is>
      </c>
      <c r="B19" s="4" t="n">
        <v>19</v>
      </c>
      <c r="C19" s="4" t="n">
        <v>3475</v>
      </c>
      <c r="D19" s="5">
        <f>IFERROR(C19/$C$24*100,"")</f>
        <v/>
      </c>
    </row>
    <row r="20">
      <c r="A20" s="2" t="inlineStr">
        <is>
          <t>R. Actividades artísticas, de entretenimiento y recreativas</t>
        </is>
      </c>
      <c r="B20" s="4" t="n">
        <v>4</v>
      </c>
      <c r="C20" s="4" t="n">
        <v>847</v>
      </c>
      <c r="D20" s="5">
        <f>IFERROR(C20/$C$24*100,"")</f>
        <v/>
      </c>
    </row>
    <row r="21">
      <c r="A21" s="2" t="inlineStr">
        <is>
          <t>S. Otras actividades de servicios</t>
        </is>
      </c>
      <c r="B21" s="4" t="n">
        <v>12</v>
      </c>
      <c r="C21" s="4" t="n">
        <v>4168</v>
      </c>
      <c r="D21" s="5">
        <f>IFERROR(C21/$C$24*100,"")</f>
        <v/>
      </c>
    </row>
    <row r="22">
      <c r="A22" s="2" t="inlineStr">
        <is>
          <t>T. Hogares como empleadores de personal doméstico</t>
        </is>
      </c>
      <c r="B22" s="4" t="n">
        <v>15</v>
      </c>
      <c r="C22" s="4" t="n">
        <v>2608</v>
      </c>
      <c r="D22" s="5">
        <f>IFERROR(C22/$C$24*100,"")</f>
        <v/>
      </c>
    </row>
    <row r="23">
      <c r="A23" s="2" t="inlineStr">
        <is>
          <t>U. Organizaciones y órganos extraterritoriales</t>
        </is>
      </c>
      <c r="B23" s="4" t="n">
        <v>1</v>
      </c>
      <c r="C23" s="4" t="n">
        <v>260</v>
      </c>
      <c r="D23" s="5">
        <f>IFERROR(C23/$C$24*100,"")</f>
        <v/>
      </c>
    </row>
    <row r="24">
      <c r="A24" s="7" t="inlineStr">
        <is>
          <t>Total</t>
        </is>
      </c>
      <c r="B24" s="8">
        <f>SUM(B4:B23)</f>
        <v/>
      </c>
      <c r="C24" s="8">
        <f>SUM(C4:C23)</f>
        <v/>
      </c>
      <c r="D24" s="9">
        <f>SUM(D4:D23)</f>
        <v/>
      </c>
    </row>
    <row r="26">
      <c r="A26" s="10" t="inlineStr">
        <is>
          <t>Nota: Universo: personas desocupadas en JJA 2026 que estaban ocupadas en JJA 2025 (456 casos). Clasificación CAENES (CIIU Rev. 4 CL), variable r_p_rev4cl_caenes de 2025. Panel ENE: 1.032 de las 4.415 personas desocupadas de JJA 2026 (23.4%) también fueron entrevistadas en JJA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Tipo de contrato en JJA 2025 de quienes están desocupados/as en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Con contrato escrito, de duración indefinida</t>
        </is>
      </c>
      <c r="B4" s="4" t="n">
        <v>165</v>
      </c>
      <c r="C4" s="4" t="n">
        <v>35074</v>
      </c>
      <c r="D4" s="5">
        <f>IFERROR(C4/$C$10*100,"")</f>
        <v/>
      </c>
    </row>
    <row r="5">
      <c r="A5" s="2" t="inlineStr">
        <is>
          <t>Con contrato escrito, de duración definida o a plazo fijo</t>
        </is>
      </c>
      <c r="B5" s="4" t="n">
        <v>114</v>
      </c>
      <c r="C5" s="4" t="n">
        <v>21163</v>
      </c>
      <c r="D5" s="5">
        <f>IFERROR(C5/$C$10*100,"")</f>
        <v/>
      </c>
    </row>
    <row r="6">
      <c r="A6" s="2" t="inlineStr">
        <is>
          <t>Sin contrato escrito, acuerdo de duración indefinida</t>
        </is>
      </c>
      <c r="B6" s="4" t="n">
        <v>23</v>
      </c>
      <c r="C6" s="4" t="n">
        <v>3107</v>
      </c>
      <c r="D6" s="5">
        <f>IFERROR(C6/$C$10*100,"")</f>
        <v/>
      </c>
    </row>
    <row r="7">
      <c r="A7" s="2" t="inlineStr">
        <is>
          <t>Sin contrato escrito, acuerdo de duración definida</t>
        </is>
      </c>
      <c r="B7" s="4" t="n">
        <v>45</v>
      </c>
      <c r="C7" s="4" t="n">
        <v>7169</v>
      </c>
      <c r="D7" s="5">
        <f>IFERROR(C7/$C$10*100,"")</f>
        <v/>
      </c>
    </row>
    <row r="8">
      <c r="A8" s="2" t="inlineStr">
        <is>
          <t>No sabe / no responde</t>
        </is>
      </c>
      <c r="B8" s="4" t="n">
        <v>3</v>
      </c>
      <c r="C8" s="4" t="n">
        <v>482</v>
      </c>
      <c r="D8" s="5">
        <f>IFERROR(C8/$C$10*100,"")</f>
        <v/>
      </c>
    </row>
    <row r="9">
      <c r="A9" s="2" t="inlineStr">
        <is>
          <t>No aplica (empleador, cuenta propia o familiar no remunerado)</t>
        </is>
      </c>
      <c r="B9" s="4" t="n">
        <v>106</v>
      </c>
      <c r="C9" s="4" t="n">
        <v>20828</v>
      </c>
      <c r="D9" s="5">
        <f>IFERROR(C9/$C$10*100,"")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9">
        <f>SUM(D4:D9)</f>
        <v/>
      </c>
    </row>
    <row r="12">
      <c r="A12" s="10" t="inlineStr">
        <is>
          <t>Nota: Universo: personas desocupadas en JJA 2026 que estaban ocupadas en JJA 2025 (456 casos). Construido con b8 (¿tiene contrato escrito?) y b9 (duración del contrato o acuerdo). No aplica a empleadores, cuenta propia ni familiares no remunerados. Panel ENE: 1.032 de las 4.415 personas desocupadas de JJA 2026 (23.4%) también fueron entrevistadas en JJA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Categoría ocupacional en JJA 2025 de quienes están desocupados/as en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Empleador/a</t>
        </is>
      </c>
      <c r="B4" s="4" t="n">
        <v>8</v>
      </c>
      <c r="C4" s="4" t="n">
        <v>1679</v>
      </c>
      <c r="D4" s="5">
        <f>IFERROR(C4/$C$10*100,"")</f>
        <v/>
      </c>
    </row>
    <row r="5">
      <c r="A5" s="2" t="inlineStr">
        <is>
          <t>Trabajador/a por cuenta propia</t>
        </is>
      </c>
      <c r="B5" s="4" t="n">
        <v>97</v>
      </c>
      <c r="C5" s="4" t="n">
        <v>19016</v>
      </c>
      <c r="D5" s="5">
        <f>IFERROR(C5/$C$10*100,"")</f>
        <v/>
      </c>
    </row>
    <row r="6">
      <c r="A6" s="2" t="inlineStr">
        <is>
          <t>Asalariado/a del sector privado</t>
        </is>
      </c>
      <c r="B6" s="4" t="n">
        <v>311</v>
      </c>
      <c r="C6" s="4" t="n">
        <v>59856</v>
      </c>
      <c r="D6" s="5">
        <f>IFERROR(C6/$C$10*100,"")</f>
        <v/>
      </c>
    </row>
    <row r="7">
      <c r="A7" s="2" t="inlineStr">
        <is>
          <t>Asalariado/a del sector público</t>
        </is>
      </c>
      <c r="B7" s="4" t="n">
        <v>28</v>
      </c>
      <c r="C7" s="4" t="n">
        <v>5091</v>
      </c>
      <c r="D7" s="5">
        <f>IFERROR(C7/$C$10*100,"")</f>
        <v/>
      </c>
    </row>
    <row r="8">
      <c r="A8" s="2" t="inlineStr">
        <is>
          <t>Personal de servicio doméstico puertas afuera</t>
        </is>
      </c>
      <c r="B8" s="4" t="n">
        <v>11</v>
      </c>
      <c r="C8" s="4" t="n">
        <v>2048</v>
      </c>
      <c r="D8" s="5">
        <f>IFERROR(C8/$C$10*100,"")</f>
        <v/>
      </c>
    </row>
    <row r="9">
      <c r="A9" s="2" t="inlineStr">
        <is>
          <t>Familiar o personal no remunerado</t>
        </is>
      </c>
      <c r="B9" s="4" t="n">
        <v>1</v>
      </c>
      <c r="C9" s="4" t="n">
        <v>133</v>
      </c>
      <c r="D9" s="5">
        <f>IFERROR(C9/$C$10*100,"")</f>
        <v/>
      </c>
    </row>
    <row r="10">
      <c r="A10" s="7" t="inlineStr">
        <is>
          <t>Total</t>
        </is>
      </c>
      <c r="B10" s="8">
        <f>SUM(B4:B9)</f>
        <v/>
      </c>
      <c r="C10" s="8">
        <f>SUM(C4:C9)</f>
        <v/>
      </c>
      <c r="D10" s="9">
        <f>SUM(D4:D9)</f>
        <v/>
      </c>
    </row>
    <row r="12">
      <c r="A12" s="10" t="inlineStr">
        <is>
          <t>Nota: Universo: personas desocupadas en JJA 2026 que estaban ocupadas en JJA 2025 (456 casos). Panel ENE: 1.032 de las 4.415 personas desocupadas de JJA 2026 (23.4%) también fueron entrevistadas en JJA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Formalidad del empleo en JJA 2025 de quienes están desocupados/as en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Empleo formal</t>
        </is>
      </c>
      <c r="B4" s="4" t="n">
        <v>288</v>
      </c>
      <c r="C4" s="4" t="n">
        <v>58976</v>
      </c>
      <c r="D4" s="5">
        <f>IFERROR(C4/$C$6*100,"")</f>
        <v/>
      </c>
    </row>
    <row r="5">
      <c r="A5" s="2" t="inlineStr">
        <is>
          <t>Empleo informal</t>
        </is>
      </c>
      <c r="B5" s="4" t="n">
        <v>168</v>
      </c>
      <c r="C5" s="4" t="n">
        <v>28848</v>
      </c>
      <c r="D5" s="5">
        <f>IFERROR(C5/$C$6*100,"")</f>
        <v/>
      </c>
    </row>
    <row r="6">
      <c r="A6" s="7" t="inlineStr">
        <is>
          <t>Total</t>
        </is>
      </c>
      <c r="B6" s="8">
        <f>SUM(B4:B5)</f>
        <v/>
      </c>
      <c r="C6" s="8">
        <f>SUM(C4:C5)</f>
        <v/>
      </c>
      <c r="D6" s="9">
        <f>SUM(D4:D5)</f>
        <v/>
      </c>
    </row>
    <row r="8">
      <c r="A8" s="10" t="inlineStr">
        <is>
          <t>Nota: Universo: personas desocupadas en JJA 2026 que estaban ocupadas en JJA 2025 (456 casos). Variable ocup_form (condición de formalidad del empleo, marco OIT 17a CIET). Panel ENE: 1.032 de las 4.415 personas desocupadas de JJA 2026 (23.4%) también fueron entrevistadas en JJA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Sector institucional del empleo en JJA 2025 de quienes están desocupados/as en JJA 2026</t>
        </is>
      </c>
    </row>
    <row r="3">
      <c r="A3" s="6" t="inlineStr">
        <is>
          <t>Categoría</t>
        </is>
      </c>
      <c r="B3" s="6" t="inlineStr">
        <is>
          <t>Casos muestrales</t>
        </is>
      </c>
      <c r="C3" s="6" t="inlineStr">
        <is>
          <t>Personas desocupadas</t>
        </is>
      </c>
      <c r="D3" s="6" t="inlineStr">
        <is>
          <t>% de quienes estaban ocupados/as</t>
        </is>
      </c>
    </row>
    <row r="4">
      <c r="A4" s="2" t="inlineStr">
        <is>
          <t>Sector formal</t>
        </is>
      </c>
      <c r="B4" s="4" t="n">
        <v>342</v>
      </c>
      <c r="C4" s="4" t="n">
        <v>67344</v>
      </c>
      <c r="D4" s="5">
        <f>IFERROR(C4/$C$7*100,"")</f>
        <v/>
      </c>
    </row>
    <row r="5">
      <c r="A5" s="2" t="inlineStr">
        <is>
          <t>Sector informal</t>
        </is>
      </c>
      <c r="B5" s="4" t="n">
        <v>99</v>
      </c>
      <c r="C5" s="4" t="n">
        <v>17872</v>
      </c>
      <c r="D5" s="5">
        <f>IFERROR(C5/$C$7*100,"")</f>
        <v/>
      </c>
    </row>
    <row r="6">
      <c r="A6" s="2" t="inlineStr">
        <is>
          <t>Hogares</t>
        </is>
      </c>
      <c r="B6" s="4" t="n">
        <v>15</v>
      </c>
      <c r="C6" s="4" t="n">
        <v>2608</v>
      </c>
      <c r="D6" s="5">
        <f>IFERROR(C6/$C$7*100,"")</f>
        <v/>
      </c>
    </row>
    <row r="7">
      <c r="A7" s="7" t="inlineStr">
        <is>
          <t>Total</t>
        </is>
      </c>
      <c r="B7" s="8">
        <f>SUM(B4:B6)</f>
        <v/>
      </c>
      <c r="C7" s="8">
        <f>SUM(C4:C6)</f>
        <v/>
      </c>
      <c r="D7" s="9">
        <f>SUM(D4:D6)</f>
        <v/>
      </c>
    </row>
    <row r="9">
      <c r="A9" s="10" t="inlineStr">
        <is>
          <t>Nota: Universo: personas desocupadas en JJA 2026 que estaban ocupadas en JJA 2025 (456 casos). Variable sector: unidad productiva formal, informal u hogares. Panel ENE: 1.032 de las 4.415 personas desocupadas de JJA 2026 (23.4%) también fueron entrevistadas en JJA 2025. La submuestra panel no tiene diseño ni factores de expansión propios, por lo que las cifras expandidas son indicativas y no constituyen estimaciones oficiales; el porcentaje es la lectura recomendada.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2026-09-30T19:48:08Z</dcterms:created>
  <dcterms:modified xmlns:dcterms="http://purl.org/dc/terms/" xmlns:xsi="http://www.w3.org/2001/XMLSchema-instance" xsi:type="dcterms:W3CDTF">2026-09-30T19:48:08Z</dcterms:modified>
</cp:coreProperties>
</file>