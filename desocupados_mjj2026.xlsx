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Resumen" sheetId="2" state="visible" r:id="rId4"/>
    <sheet name="Sexo" sheetId="3" state="visible" r:id="rId5"/>
    <sheet name="Edad" sheetId="4" state="visible" r:id="rId6"/>
    <sheet name="Region" sheetId="5" state="visible" r:id="rId7"/>
    <sheet name="Provincia" sheetId="6" state="visible" r:id="rId8"/>
    <sheet name="Educacion" sheetId="7" state="visible" r:id="rId9"/>
    <sheet name="Nacionalidad" sheetId="8" state="visible" r:id="rId10"/>
    <sheet name="Pueblo_indigena" sheetId="9" state="visible" r:id="rId11"/>
    <sheet name="Jefatura_hogar" sheetId="10" state="visible" r:id="rId12"/>
    <sheet name="Condicion" sheetId="11" state="visible" r:id="rId13"/>
    <sheet name="Duracion_busqueda" sheetId="12" state="visible" r:id="rId14"/>
    <sheet name="Duracion_cesantia" sheetId="13" state="visible" r:id="rId15"/>
    <sheet name="Motivo_termino" sheetId="14" state="visible" r:id="rId16"/>
    <sheet name="Motivo_despido" sheetId="15" state="visible" r:id="rId17"/>
    <sheet name="Motivo_renuncia" sheetId="16" state="visible" r:id="rId18"/>
    <sheet name="Jornada_buscada" sheetId="17" state="visible" r:id="rId19"/>
    <sheet name="Metodos_busqueda" sheetId="18" state="visible" r:id="rId20"/>
    <sheet name="Panel_situacion_2025" sheetId="19" state="visible" r:id="rId21"/>
    <sheet name="Panel_rama_2025" sheetId="20" state="visible" r:id="rId22"/>
    <sheet name="Panel_contrato_2025" sheetId="21" state="visible" r:id="rId23"/>
    <sheet name="Panel_categoria_2025" sheetId="22" state="visible" r:id="rId24"/>
    <sheet name="Panel_formalidad_2025" sheetId="23" state="visible" r:id="rId25"/>
    <sheet name="Panel_sector_inst_2025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<sst xmlns="http://schemas.openxmlformats.org/spreadsheetml/2006/main" count="427" uniqueCount="292">
  <si>
    <t xml:space="preserve">Caracterización de las personas desocupadas - ENE, trimestre móvil mayo-junio-julio 2026</t>
  </si>
  <si>
    <t xml:space="preserve">Fuente: Instituto Nacional de Estadísticas (INE), Encuesta Nacional de Empleo (ENE), microdatos.</t>
  </si>
  <si>
    <t xml:space="preserve">Elaboración propia. Trimestre móvil MJJ 2026 (mes central: junio). Muestra: 97.946 personas.</t>
  </si>
  <si>
    <t xml:space="preserve">DEFINICIONES</t>
  </si>
  <si>
    <t xml:space="preserve">Población en edad de trabajar (PET): personas de 15 años y más.</t>
  </si>
  <si>
    <t xml:space="preserve">Fuerza de trabajo: personas ocupadas más personas desocupadas (ft = 1).</t>
  </si>
  <si>
    <t xml:space="preserve">Persona desocupada (activ = 2): sin empleo, que buscó trabajo en las últimas cuatro semanas y</t>
  </si>
  <si>
    <t xml:space="preserve">   está disponible para trabajar (marco conceptual OIT, 19a CIET).</t>
  </si>
  <si>
    <t xml:space="preserve">Cesante (cae_general = 4): persona desocupada con experiencia laboral previa.</t>
  </si>
  <si>
    <t xml:space="preserve">Busca trabajo por primera vez (cae_general = 5): persona desocupada sin empleo anterior.</t>
  </si>
  <si>
    <t xml:space="preserve">Tasa de desocupación = personas desocupadas / fuerza de trabajo * 100.</t>
  </si>
  <si>
    <t xml:space="preserve">EXPANSIÓN</t>
  </si>
  <si>
    <t xml:space="preserve">Todas las cifras de personas están expandidas con el factor trimestral fact_cal (proyecciones de</t>
  </si>
  <si>
    <t xml:space="preserve">   población base Censo 2017). Los 'casos muestrales' corresponden a personas encuestadas.</t>
  </si>
  <si>
    <t xml:space="preserve">Se recomienda cautela al interpretar categorías con menos de 50 casos muestrales.</t>
  </si>
  <si>
    <t xml:space="preserve">VARIABLES UTILIZADAS</t>
  </si>
  <si>
    <t xml:space="preserve">sexo; tramo_edad; region; cine11_1d (nivel educacional); nacionalidad (ISO 3166, 152 = Chile);</t>
  </si>
  <si>
    <t xml:space="preserve">orig1 (pueblo indígena); parentesco (jefatura de hogar); cae_general (condición de desocupación);</t>
  </si>
  <si>
    <t xml:space="preserve">e7 (jornada buscada); e3_1 a e3_12 (gestiones de búsqueda); e6_mes/e6_ano (inicio de la búsqueda);</t>
  </si>
  <si>
    <t xml:space="preserve">e21_mes/e21_ano (término del último empleo); e22 (motivo de término del último empleo);</t>
  </si>
  <si>
    <t xml:space="preserve">e23 (motivo del despido, solo si e22 = 1); e24 (motivo de la renuncia, solo si e22 = 2).</t>
  </si>
  <si>
    <t xml:space="preserve">SUPUESTOS</t>
  </si>
  <si>
    <t xml:space="preserve">La duración de la búsqueda y de la cesantía se calcula como diferencia en meses entre el mes de la</t>
  </si>
  <si>
    <t xml:space="preserve">   entrevista (mes_encuesta) y la fecha declarada; los valores negativos se truncan en 0 y los</t>
  </si>
  <si>
    <t xml:space="preserve">   códigos 88 / 99 / 9999 se clasifican como 'No declarado'.</t>
  </si>
  <si>
    <t xml:space="preserve">Las etiquetas de cine11_1d se validaron cruzando esa variable con 'nivel' y 'termino_nivel'.</t>
  </si>
  <si>
    <t xml:space="preserve">Las glosas de e22 (pregunta E19) para los códigos 3 a 9, 88 y 99 provienen del libro de códigos del INE.</t>
  </si>
  <si>
    <t xml:space="preserve">   Los códigos 1 y 2 se etiquetan como despido y renuncia porque son los que habilitan las preguntas</t>
  </si>
  <si>
    <t xml:space="preserve">   e23 (motivo de despido) y e24 (motivo de renuncia).</t>
  </si>
  <si>
    <t xml:space="preserve">Las glosas de e23 y e24 provienen del libro de códigos del INE; ambas preguntas se incorporaron a</t>
  </si>
  <si>
    <t xml:space="preserve">   partir del trimestre JJA 2020 por recomendación de la OIT (INE, 2020c).</t>
  </si>
  <si>
    <t xml:space="preserve">ESTRUCTURA PANEL (hojas Panel_*)</t>
  </si>
  <si>
    <t xml:space="preserve">La ENE es una encuesta de panel rotativo: cada persona seleccionada es entrevistada durante tres</t>
  </si>
  <si>
    <t xml:space="preserve">   meses consecutivos, sale de la muestra y vuelve a ser entrevistada tres meses más, 12 meses</t>
  </si>
  <si>
    <t xml:space="preserve">   después de la primera visita. Eso permite enlazar MJJ 2026 con MJJ 2025 por el identificador de</t>
  </si>
  <si>
    <t xml:space="preserve">   persona idrph, siempre en el mismo mes calendario (mayo con mayo, junio con junio, julio con julio).</t>
  </si>
  <si>
    <t xml:space="preserve">Pares enlazados y validados: 25.486 personas entrevistadas en ambos trimestres móviles.</t>
  </si>
  <si>
    <t xml:space="preserve">Validación del enlace: se exige mismo sexo y una diferencia de edad de 0 a 2 años entre ambas olas;</t>
  </si>
  <si>
    <t xml:space="preserve">   los pares que no cumplen se descartan.</t>
  </si>
  <si>
    <t xml:space="preserve">Cobertura: 1.086 de las 4.412 personas desocupadas de MJJ 2026 (24.6%) tienen dato de 2025.</t>
  </si>
  <si>
    <t xml:space="preserve">ADVERTENCIA: la submuestra panel no tiene diseño muestral ni factores de expansión propios. Las cifras</t>
  </si>
  <si>
    <t xml:space="preserve">   expandidas de las hojas Panel_* se calculan con fact_cal de 2026 y son solo indicativas; la lectura</t>
  </si>
  <si>
    <t xml:space="preserve">   recomendada es la distribución porcentual, y no deben presentarse como estimaciones oficiales del INE.</t>
  </si>
  <si>
    <t xml:space="preserve">Variables de 2025 utilizadas: activ y cae_general (situación laboral); r_p_rev4cl_caenes (rama CAENES);</t>
  </si>
  <si>
    <t xml:space="preserve">   categoria_ocupacion; ocup_form (formalidad); sector (sector institucional); b8 y b9 (contrato).</t>
  </si>
  <si>
    <t xml:space="preserve">Script que genera este archivo: ene_empleo_microdatos/desocupados_mjj2026.R</t>
  </si>
  <si>
    <t xml:space="preserve">Resumen - personas desocupadas, ENE MJJ 2026</t>
  </si>
  <si>
    <t xml:space="preserve">Indicador</t>
  </si>
  <si>
    <t xml:space="preserve">Valor</t>
  </si>
  <si>
    <t xml:space="preserve">Población en edad de trabajar (PET)</t>
  </si>
  <si>
    <t xml:space="preserve">Fuerza de trabajo</t>
  </si>
  <si>
    <t xml:space="preserve">Personas ocupadas</t>
  </si>
  <si>
    <t xml:space="preserve">Personas desocupadas</t>
  </si>
  <si>
    <t xml:space="preserve">   Cesantes</t>
  </si>
  <si>
    <t xml:space="preserve">   Buscan trabajo por primera vez</t>
  </si>
  <si>
    <t xml:space="preserve">Tasa de desocupación (%)</t>
  </si>
  <si>
    <t xml:space="preserve">Tasa de cesantía (%)</t>
  </si>
  <si>
    <t xml:space="preserve">Casos muestrales (total encuesta)</t>
  </si>
  <si>
    <t xml:space="preserve">Casos muestrales (personas desocupadas)</t>
  </si>
  <si>
    <t xml:space="preserve">Personas desocupadas según sexo - MJJ 2026</t>
  </si>
  <si>
    <t xml:space="preserve">Categoría</t>
  </si>
  <si>
    <t xml:space="preserve">Casos muestrales</t>
  </si>
  <si>
    <t xml:space="preserve">% del total de desocupados</t>
  </si>
  <si>
    <t xml:space="preserve">Hombre</t>
  </si>
  <si>
    <t xml:space="preserve">Mujer</t>
  </si>
  <si>
    <t xml:space="preserve">Total</t>
  </si>
  <si>
    <t xml:space="preserve">Personas desocupadas según tramo de edad - MJJ 2026</t>
  </si>
  <si>
    <t xml:space="preserve">15 a 19 años</t>
  </si>
  <si>
    <t xml:space="preserve">20 a 24 años</t>
  </si>
  <si>
    <t xml:space="preserve">25 a 29 años</t>
  </si>
  <si>
    <t xml:space="preserve">30 a 34 años</t>
  </si>
  <si>
    <t xml:space="preserve">35 a 39 años</t>
  </si>
  <si>
    <t xml:space="preserve">40 a 44 años</t>
  </si>
  <si>
    <t xml:space="preserve">45 a 49 años</t>
  </si>
  <si>
    <t xml:space="preserve">50 a 54 años</t>
  </si>
  <si>
    <t xml:space="preserve">55 a 59 años</t>
  </si>
  <si>
    <t xml:space="preserve">60 a 64 años</t>
  </si>
  <si>
    <t xml:space="preserve">65 a 69 años</t>
  </si>
  <si>
    <t xml:space="preserve">70 años o más</t>
  </si>
  <si>
    <t xml:space="preserve">Personas desocupadas según región - MJJ 2026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</si>
  <si>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</si>
  <si>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</si>
  <si>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</si>
  <si>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</si>
  <si>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</si>
  <si>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</si>
  <si>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 de Santiago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</si>
  <si>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</si>
  <si>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</si>
  <si>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</si>
  <si>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</si>
  <si>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</si>
  <si>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</si>
  <si>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</si>
  <si>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</si>
  <si>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</si>
  <si>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Personas desocupadas según provincia - MJJ 2026</t>
  </si>
  <si>
    <t xml:space="preserve">Arica (Arica y Parinacota)</t>
  </si>
  <si>
    <t xml:space="preserve">Parinacota (Arica y Parinacota)</t>
  </si>
  <si>
    <t xml:space="preserve">Iquique (Tarapacá)</t>
  </si>
  <si>
    <t xml:space="preserve">Tamarugal (Tarapacá)</t>
  </si>
  <si>
    <t xml:space="preserve">Antofagasta (Antofagasta)</t>
  </si>
  <si>
    <t xml:space="preserve">El Loa (Antofagasta)</t>
  </si>
  <si>
    <t xml:space="preserve">Tocopilla (Antofagasta)</t>
  </si>
  <si>
    <t xml:space="preserve">Copiapó (Atacama)</t>
  </si>
  <si>
    <t xml:space="preserve">Chañaral (Atacama)</t>
  </si>
  <si>
    <t xml:space="preserve">Huasco (Atacama)</t>
  </si>
  <si>
    <t xml:space="preserve">Elqui (Coquimbo)</t>
  </si>
  <si>
    <t xml:space="preserve">Choapa (Coquimbo)</t>
  </si>
  <si>
    <t xml:space="preserve">Limarí (Coquimbo)</t>
  </si>
  <si>
    <t xml:space="preserve">Valparaíso (Valparaíso)</t>
  </si>
  <si>
    <t xml:space="preserve">Los Andes (Valparaíso)</t>
  </si>
  <si>
    <t xml:space="preserve">Petorca (Valparaíso)</t>
  </si>
  <si>
    <t xml:space="preserve">Quillota (Valparaíso)</t>
  </si>
  <si>
    <t xml:space="preserve">San Antonio (Valparaíso)</t>
  </si>
  <si>
    <t xml:space="preserve">San Felipe de Aconcagua (Valparaíso)</t>
  </si>
  <si>
    <t xml:space="preserve">Marga Marga (Valparaíso)</t>
  </si>
  <si>
    <t xml:space="preserve">Santiago (Metropolitana)</t>
  </si>
  <si>
    <t xml:space="preserve">Cordillera (Metropolitana)</t>
  </si>
  <si>
    <t xml:space="preserve">Chacabuco (Metropolitana)</t>
  </si>
  <si>
    <t xml:space="preserve">Maipo (Metropolitana)</t>
  </si>
  <si>
    <t xml:space="preserve">Melipilla (Metropolitana)</t>
  </si>
  <si>
    <t xml:space="preserve">Talagante (Metropolitana)</t>
  </si>
  <si>
    <t xml:space="preserve">Cachapoal (O'Higgins)</t>
  </si>
  <si>
    <t xml:space="preserve">Cardenal Caro (O'Higgins)</t>
  </si>
  <si>
    <t xml:space="preserve">Colchagua (O'Higgins)</t>
  </si>
  <si>
    <t xml:space="preserve">Talca (Maule)</t>
  </si>
  <si>
    <t xml:space="preserve">Cauquenes (Maule)</t>
  </si>
  <si>
    <t xml:space="preserve">Curicó (Maule)</t>
  </si>
  <si>
    <t xml:space="preserve">Linares (Maule)</t>
  </si>
  <si>
    <t xml:space="preserve">Diguillín (Ñuble)</t>
  </si>
  <si>
    <t xml:space="preserve">Itata (Ñuble)</t>
  </si>
  <si>
    <t xml:space="preserve">Punilla (Ñuble)</t>
  </si>
  <si>
    <t xml:space="preserve">Concepción (Biobío)</t>
  </si>
  <si>
    <t xml:space="preserve">Arauco (Biobío)</t>
  </si>
  <si>
    <t xml:space="preserve">Biobío (Biobío)</t>
  </si>
  <si>
    <t xml:space="preserve">Cautín (La Araucanía)</t>
  </si>
  <si>
    <t xml:space="preserve">Malleco (La Araucanía)</t>
  </si>
  <si>
    <t xml:space="preserve">Valdivia (Los Ríos)</t>
  </si>
  <si>
    <t xml:space="preserve">Ranco (Los Ríos)</t>
  </si>
  <si>
    <t xml:space="preserve">Llanquihue (Los Lagos)</t>
  </si>
  <si>
    <t xml:space="preserve">Chiloé (Los Lagos)</t>
  </si>
  <si>
    <t xml:space="preserve">Osorno (Los Lagos)</t>
  </si>
  <si>
    <t xml:space="preserve">Coyhaique (Aysén)</t>
  </si>
  <si>
    <t xml:space="preserve">Aysén (Aysén)</t>
  </si>
  <si>
    <t xml:space="preserve">General Carrera (Aysén)</t>
  </si>
  <si>
    <t xml:space="preserve">Magallanes (Magallanes)</t>
  </si>
  <si>
    <t xml:space="preserve">Tierra del Fuego (Magallanes)</t>
  </si>
  <si>
    <t xml:space="preserve">Última Esperanza (Magallanes)</t>
  </si>
  <si>
    <t xml:space="preserve">Nota: Nota: la ENE tiene representatividad regional, no provincial. Estas cifras son elaboración propia y no constituyen estimaciones oficiales del INE: en varias provincias el número de casos muestrales de personas desocupadas es muy bajo y la tasa resultante tiene un error muestral alto. Las provincias de Isla de Pascua y Palena no aparecen porque no forman parte de la muestra del trimestre. El nombre de cada provincia va acompañado de su región.</t>
  </si>
  <si>
    <t xml:space="preserve">Personas desocupadas según nivel educacional alcanzado - MJJ 2026</t>
  </si>
  <si>
    <t xml:space="preserve">Sin educación formal o básica incompleta</t>
  </si>
  <si>
    <t xml:space="preserve">Básica completa o media incompleta</t>
  </si>
  <si>
    <t xml:space="preserve">Media completa</t>
  </si>
  <si>
    <t xml:space="preserve">Técnica de nivel superior</t>
  </si>
  <si>
    <t xml:space="preserve">Profesional (universitaria)</t>
  </si>
  <si>
    <t xml:space="preserve">Magíster</t>
  </si>
  <si>
    <t xml:space="preserve">Doctorado</t>
  </si>
  <si>
    <t xml:space="preserve">Nivel no declarado</t>
  </si>
  <si>
    <t xml:space="preserve">Nota: Clasificación CINE 2011 (variable cine11_1d de la ENE).</t>
  </si>
  <si>
    <t xml:space="preserve">Personas desocupadas según nacionalidad - MJJ 2026</t>
  </si>
  <si>
    <t xml:space="preserve">Chilena</t>
  </si>
  <si>
    <t xml:space="preserve">Extranjera</t>
  </si>
  <si>
    <t xml:space="preserve">Personas desocupadas según pertenencia a pueblo indígena u originario - MJJ 2026</t>
  </si>
  <si>
    <t xml:space="preserve">Sí</t>
  </si>
  <si>
    <t xml:space="preserve">No</t>
  </si>
  <si>
    <t xml:space="preserve">No declarado</t>
  </si>
  <si>
    <t xml:space="preserve">Personas desocupadas según jefatura de hogar - MJJ 2026</t>
  </si>
  <si>
    <t xml:space="preserve">Jefe/a de hogar</t>
  </si>
  <si>
    <t xml:space="preserve">Otro parentesco</t>
  </si>
  <si>
    <t xml:space="preserve">Personas desocupadas según condición: cesante o busca trabajo por primera vez - MJJ 2026</t>
  </si>
  <si>
    <t xml:space="preserve">Cesante</t>
  </si>
  <si>
    <t xml:space="preserve">Busca trabajo por primera vez</t>
  </si>
  <si>
    <t xml:space="preserve">Personas desocupadas según duración de la búsqueda de empleo - MJJ 2026</t>
  </si>
  <si>
    <t xml:space="preserve">Menos de 3 meses</t>
  </si>
  <si>
    <t xml:space="preserve">3 a 5 meses</t>
  </si>
  <si>
    <t xml:space="preserve">6 a 11 meses</t>
  </si>
  <si>
    <t xml:space="preserve">12 a 23 meses</t>
  </si>
  <si>
    <t xml:space="preserve">24 meses o más</t>
  </si>
  <si>
    <t xml:space="preserve">Nota: Meses transcurridos desde que declara haber comenzado a buscar trabajo (e6).</t>
  </si>
  <si>
    <t xml:space="preserve">Personas cesantes según tiempo transcurrido desde su último empleo - MJJ 2026</t>
  </si>
  <si>
    <t xml:space="preserve">Nota: Universo: solo personas cesantes (cae_general = 4). Base: e21.</t>
  </si>
  <si>
    <t xml:space="preserve">Personas cesantes según motivo de término de su último empleo - MJJ 2026</t>
  </si>
  <si>
    <t xml:space="preserve">Despido</t>
  </si>
  <si>
    <t xml:space="preserve">Renuncia</t>
  </si>
  <si>
    <t xml:space="preserve">Fin del contrato, proyecto, faena, temporada o reemplazo</t>
  </si>
  <si>
    <t xml:space="preserve">Jubilación</t>
  </si>
  <si>
    <t xml:space="preserve">Término del ejercicio de la actividad por cuenta propia</t>
  </si>
  <si>
    <t xml:space="preserve">Quiebra o cierre de negocio por razones económicas</t>
  </si>
  <si>
    <t xml:space="preserve">Quiebra o cierre de negocio por un fenómeno natural o siniestro</t>
  </si>
  <si>
    <t xml:space="preserve">Quiebra o cierre de negocio por la pandemia del COVID-19</t>
  </si>
  <si>
    <t xml:space="preserve">Imposibilidad de realizar actividad por cuenta propia por la pandemia del COVID-19</t>
  </si>
  <si>
    <t xml:space="preserve">No sabe</t>
  </si>
  <si>
    <t xml:space="preserve">No responde</t>
  </si>
  <si>
    <t xml:space="preserve">Nota: Universo: solo personas cesantes (e22, pregunta E19 del cuestionario). Quienes responden 'despido' detallan el motivo en e23 y quienes responden 'renuncia' lo detallan en e24.</t>
  </si>
  <si>
    <t xml:space="preserve">Personas cesantes despedidas según motivo del despido - MJJ 2026</t>
  </si>
  <si>
    <t xml:space="preserve">Por razones de edad (muy joven o edad avanzada)</t>
  </si>
  <si>
    <t xml:space="preserve">Conflicto con su jefe o superior</t>
  </si>
  <si>
    <t xml:space="preserve">Falta de calificación o capacitación</t>
  </si>
  <si>
    <t xml:space="preserve">Ya no hubo más trabajo</t>
  </si>
  <si>
    <t xml:space="preserve">Incumplimiento de funciones</t>
  </si>
  <si>
    <t xml:space="preserve">Enfermedad o incapacidad propia</t>
  </si>
  <si>
    <t xml:space="preserve">Embarazo y/o incompatibilidad con cuidado de personas en el hogar</t>
  </si>
  <si>
    <t xml:space="preserve">Reducción de personal</t>
  </si>
  <si>
    <t xml:space="preserve">Pandemia del COVID-19</t>
  </si>
  <si>
    <t xml:space="preserve">Otra razón</t>
  </si>
  <si>
    <t xml:space="preserve">Nota: Universo: personas cesantes cuyo último empleo terminó por despido (e22 = 1). Variable e23. Pregunta incorporada a partir del trimestre JJA 2020, recomendada por la OIT en el contexto del impacto de la pandemia de COVID-19 sobre la población no ocupada (INE, 2020c).</t>
  </si>
  <si>
    <t xml:space="preserve">Personas cesantes que renunciaron según motivo de la renuncia - MJJ 2026</t>
  </si>
  <si>
    <t xml:space="preserve">Realizar estudios o recibir formación</t>
  </si>
  <si>
    <t xml:space="preserve">Cuidado de niños o de adultos enfermos o incapacitados</t>
  </si>
  <si>
    <t xml:space="preserve">Motivos de salud</t>
  </si>
  <si>
    <t xml:space="preserve">Deseaba un trabajo con mayores ingresos</t>
  </si>
  <si>
    <t xml:space="preserve">Para mejorar su calidad de vida</t>
  </si>
  <si>
    <t xml:space="preserve">Acoso o falta de respeto a su persona</t>
  </si>
  <si>
    <t xml:space="preserve">Embarazo</t>
  </si>
  <si>
    <t xml:space="preserve">Se cansó de ese trabajo</t>
  </si>
  <si>
    <t xml:space="preserve">Nota: Universo: personas cesantes cuyo último empleo terminó por renuncia (e22 = 2). Variable e24. Pregunta incorporada a partir del trimestre JJA 2020, recomendada por la OIT en el contexto del impacto de la pandemia de COVID-19 sobre la población no ocupada (INE, 2020c).</t>
  </si>
  <si>
    <t xml:space="preserve">Personas desocupadas según tipo de jornada buscada - MJJ 2026</t>
  </si>
  <si>
    <t xml:space="preserve">Jornada completa</t>
  </si>
  <si>
    <t xml:space="preserve">Jornada parcial</t>
  </si>
  <si>
    <t xml:space="preserve">Indistinto</t>
  </si>
  <si>
    <t xml:space="preserve">Personas desocupadas según gestiones de búsqueda realizadas - MJJ 2026</t>
  </si>
  <si>
    <t xml:space="preserve">Envió CV a empresas o instituciones</t>
  </si>
  <si>
    <t xml:space="preserve">Revisó y contestó anuncios</t>
  </si>
  <si>
    <t xml:space="preserve">Pidió a conocidos o familiares que le avisaran</t>
  </si>
  <si>
    <t xml:space="preserve">Consultó directamente con empleadores</t>
  </si>
  <si>
    <t xml:space="preserve">Se inscribió o revisó anuncios en la OMIL</t>
  </si>
  <si>
    <t xml:space="preserve">Actualizó su CV publicado en internet</t>
  </si>
  <si>
    <t xml:space="preserve">Puso anuncios</t>
  </si>
  <si>
    <t xml:space="preserve">Participó en una prueba o entrevista</t>
  </si>
  <si>
    <t xml:space="preserve">Realizó gestiones para establecerse por su cuenta</t>
  </si>
  <si>
    <t xml:space="preserve">Estuvo buscando clientes o pedidos</t>
  </si>
  <si>
    <t xml:space="preserve">Consultó con agencias de empleo</t>
  </si>
  <si>
    <t xml:space="preserve">Ninguna de las anteriores</t>
  </si>
  <si>
    <t xml:space="preserve">Total de personas desocupadas</t>
  </si>
  <si>
    <t xml:space="preserve">Nota: Respuesta múltiple: una persona puede declarar varias gestiones, por lo que los porcentajes no suman 100. El denominador es el total de personas desocupadas.</t>
  </si>
  <si>
    <t xml:space="preserve">¿En qué situación estaban en MJJ 2025 las personas desocupadas de MJJ 2026?</t>
  </si>
  <si>
    <t xml:space="preserve">% de las personas enlazadas</t>
  </si>
  <si>
    <t xml:space="preserve">Ocupado/a</t>
  </si>
  <si>
    <t xml:space="preserve">Desocupado/a: cesante</t>
  </si>
  <si>
    <t xml:space="preserve">Desocupado/a: busca trabajo por primera vez</t>
  </si>
  <si>
    <t xml:space="preserve">Fuera de la fuerza de trabajo: fuerza de trabajo potencial</t>
  </si>
  <si>
    <t xml:space="preserve">Fuera de la fuerza de trabajo: resto</t>
  </si>
  <si>
    <t xml:space="preserve">Nota: Panel ENE: 1.086 de las 4.412 personas desocupadas de MJJ 2026 (24.6%) también fueron entrevistadas en MJJ 2025. La submuestra panel no tiene diseño ni factores de expansión propios, por lo que las cifras expandidas son indicativas y no constituyen estimaciones oficiales; el porcentaje es la lectura recomendada. Fuerza de trabajo potencial: personas fuera de la fuerza de trabajo disponibles para trabajar o que buscaron sin estar disponibles (cae_general 6 a 8).</t>
  </si>
  <si>
    <t xml:space="preserve">Rama de actividad en MJJ 2025 de quienes están desocupados/as en MJJ 2026</t>
  </si>
  <si>
    <t xml:space="preserve">% de quienes estaban ocupados/as</t>
  </si>
  <si>
    <t xml:space="preserve">A. Agricultura, ganadería, silvicultura y pesca</t>
  </si>
  <si>
    <t xml:space="preserve">B. Explotación de minas y canteras</t>
  </si>
  <si>
    <t xml:space="preserve">C. Industrias manufactureras</t>
  </si>
  <si>
    <t xml:space="preserve">E. Suministro de agua y gestión de desechos</t>
  </si>
  <si>
    <t xml:space="preserve">F. Construcción</t>
  </si>
  <si>
    <t xml:space="preserve">G. Comercio al por mayor y al por menor; reparación de vehículos</t>
  </si>
  <si>
    <t xml:space="preserve">H. Transporte y almacenamiento</t>
  </si>
  <si>
    <t xml:space="preserve">I. Alojamiento y servicio de comidas</t>
  </si>
  <si>
    <t xml:space="preserve">J. Información y comunicaciones</t>
  </si>
  <si>
    <t xml:space="preserve">K. Actividades financieras y de seguros</t>
  </si>
  <si>
    <t xml:space="preserve">L. Actividades inmobiliarias</t>
  </si>
  <si>
    <t xml:space="preserve">M. Actividades profesionales, científicas y técnicas</t>
  </si>
  <si>
    <t xml:space="preserve">N. Actividades de servicios administrativos y de apoyo</t>
  </si>
  <si>
    <t xml:space="preserve">O. Administración pública y defensa</t>
  </si>
  <si>
    <t xml:space="preserve">P. Enseñanza</t>
  </si>
  <si>
    <t xml:space="preserve">Q. Salud humana y asistencia social</t>
  </si>
  <si>
    <t xml:space="preserve">R. Actividades artísticas, de entretenimiento y recreativas</t>
  </si>
  <si>
    <t xml:space="preserve">S. Otras actividades de servicios</t>
  </si>
  <si>
    <t xml:space="preserve">T. Hogares como empleadores de personal doméstico</t>
  </si>
  <si>
    <t xml:space="preserve">U. Organizaciones y órganos extraterritoriales</t>
  </si>
  <si>
    <t xml:space="preserve">Nota: Universo: personas desocupadas en MJJ 2026 que estaban ocupadas en MJJ 2025 (491 casos). Clasificación CAENES (CIIU Rev. 4 CL), variable r_p_rev4cl_caenes de 2025. Panel ENE: 1.086 de las 4.412 personas desocupadas de MJJ 2026 (24.6%) también fueron entrevistadas en MJJ 2025. La submuestra panel no tiene diseño ni factores de expansión propios, por lo que las cifras expandidas son indicativas y no constituyen estimaciones oficiales; el porcentaje es la lectura recomendada.</t>
  </si>
  <si>
    <t xml:space="preserve">Tipo de contrato en MJJ 2025 de quienes están desocupados/as en MJJ 2026</t>
  </si>
  <si>
    <t xml:space="preserve">Con contrato escrito, de duración indefinida</t>
  </si>
  <si>
    <t xml:space="preserve">Con contrato escrito, de duración definida o a plazo fijo</t>
  </si>
  <si>
    <t xml:space="preserve">Sin contrato escrito, acuerdo de duración indefinida</t>
  </si>
  <si>
    <t xml:space="preserve">Sin contrato escrito, acuerdo de duración definida</t>
  </si>
  <si>
    <t xml:space="preserve">No sabe / no responde</t>
  </si>
  <si>
    <t xml:space="preserve">No aplica (empleador, cuenta propia o familiar no remunerado)</t>
  </si>
  <si>
    <t xml:space="preserve">Nota: Universo: personas desocupadas en MJJ 2026 que estaban ocupadas en MJJ 2025 (491 casos). Construido con b8 (¿tiene contrato escrito?) y b9 (duración del contrato o acuerdo). No aplica a empleadores, cuenta propia ni familiares no remunerados. Panel ENE: 1.086 de las 4.412 personas desocupadas de MJJ 2026 (24.6%) también fueron entrevistadas en MJJ 2025. La submuestra panel no tiene diseño ni factores de expansión propios, por lo que las cifras expandidas son indicativas y no constituyen estimaciones oficiales; el porcentaje es la lectura recomendada.</t>
  </si>
  <si>
    <t xml:space="preserve">Categoría ocupacional en MJJ 2025 de quienes están desocupados/as en MJJ 2026</t>
  </si>
  <si>
    <t xml:space="preserve">Empleador/a</t>
  </si>
  <si>
    <t xml:space="preserve">Trabajador/a por cuenta propia</t>
  </si>
  <si>
    <t xml:space="preserve">Asalariado/a del sector privado</t>
  </si>
  <si>
    <t xml:space="preserve">Asalariado/a del sector público</t>
  </si>
  <si>
    <t xml:space="preserve">Personal de servicio doméstico puertas afuera</t>
  </si>
  <si>
    <t xml:space="preserve">Familiar o personal no remunerado</t>
  </si>
  <si>
    <t xml:space="preserve">Nota: Universo: personas desocupadas en MJJ 2026 que estaban ocupadas en MJJ 2025 (491 casos). Panel ENE: 1.086 de las 4.412 personas desocupadas de MJJ 2026 (24.6%) también fueron entrevistadas en MJJ 2025. La submuestra panel no tiene diseño ni factores de expansión propios, por lo que las cifras expandidas son indicativas y no constituyen estimaciones oficiales; el porcentaje es la lectura recomendada.</t>
  </si>
  <si>
    <t xml:space="preserve">Formalidad del empleo en MJJ 2025 de quienes están desocupados/as en MJJ 2026</t>
  </si>
  <si>
    <t xml:space="preserve">Empleo formal</t>
  </si>
  <si>
    <t xml:space="preserve">Empleo informal</t>
  </si>
  <si>
    <t xml:space="preserve">Nota: Universo: personas desocupadas en MJJ 2026 que estaban ocupadas en MJJ 2025 (491 casos). Variable ocup_form (condición de formalidad del empleo, marco OIT 17a CIET). Panel ENE: 1.086 de las 4.412 personas desocupadas de MJJ 2026 (24.6%) también fueron entrevistadas en MJJ 2025. La submuestra panel no tiene diseño ni factores de expansión propios, por lo que las cifras expandidas son indicativas y no constituyen estimaciones oficiales; el porcentaje es la lectura recomendada.</t>
  </si>
  <si>
    <t xml:space="preserve">Sector institucional del empleo en MJJ 2025 de quienes están desocupados/as en MJJ 2026</t>
  </si>
  <si>
    <t xml:space="preserve">Sector formal</t>
  </si>
  <si>
    <t xml:space="preserve">Sector informal</t>
  </si>
  <si>
    <t xml:space="preserve">Hogares</t>
  </si>
  <si>
    <t xml:space="preserve">Nota: Universo: personas desocupadas en MJJ 2026 que estaban ocupadas en MJJ 2025 (491 casos). Variable sector: unidad productiva formal, informal u hogares. Panel ENE: 1.086 de las 4.412 personas desocupadas de MJJ 2026 (24.6%) también fueron entrevistadas en MJJ 2025. La submuestra panel no tiene diseño ni factores de expansión propios, por lo que las cifras expandidas son indicativas y no constituyen estimaciones oficiales; el porcentaje es la lectura recomendada.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</si>
</sst>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 t="s">
        <v>31</v>
      </c>
    </row>
    <row r="40" customFormat="false" ht="1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 t="s">
        <v>33</v>
      </c>
    </row>
    <row r="42" customFormat="false" ht="15" hidden="false" customHeight="false" outlineLevel="0" collapsed="false">
      <c r="A42" s="2" t="s">
        <v>34</v>
      </c>
    </row>
    <row r="43" customFormat="false" ht="15" hidden="false" customHeight="false" outlineLevel="0" collapsed="false">
      <c r="A43" s="2" t="s">
        <v>35</v>
      </c>
    </row>
    <row r="44" customFormat="false" ht="15" hidden="false" customHeight="false" outlineLevel="0" collapsed="false">
      <c r="A44" s="2" t="s">
        <v>36</v>
      </c>
    </row>
    <row r="45" customFormat="false" ht="15" hidden="false" customHeight="false" outlineLevel="0" collapsed="false">
      <c r="A45" s="2" t="s">
        <v>37</v>
      </c>
    </row>
    <row r="46" customFormat="false" ht="15" hidden="false" customHeight="false" outlineLevel="0" collapsed="false">
      <c r="A46" s="2" t="s">
        <v>38</v>
      </c>
    </row>
    <row r="47" customFormat="false" ht="15" hidden="false" customHeight="false" outlineLevel="0" collapsed="false">
      <c r="A47" s="2" t="s">
        <v>39</v>
      </c>
    </row>
    <row r="48" customFormat="false" ht="15" hidden="false" customHeight="false" outlineLevel="0" collapsed="false">
      <c r="A48" s="2" t="s">
        <v>40</v>
      </c>
    </row>
    <row r="49" customFormat="false" ht="15" hidden="false" customHeight="false" outlineLevel="0" collapsed="false">
      <c r="A49" s="2" t="s">
        <v>41</v>
      </c>
    </row>
    <row r="50" customFormat="false" ht="15" hidden="false" customHeight="false" outlineLevel="0" collapsed="false">
      <c r="A50" s="2" t="s">
        <v>42</v>
      </c>
    </row>
    <row r="51" customFormat="false" ht="15" hidden="false" customHeight="false" outlineLevel="0" collapsed="false">
      <c r="A51" s="2" t="s">
        <v>43</v>
      </c>
    </row>
    <row r="52" customFormat="false" ht="15" hidden="false" customHeight="false" outlineLevel="0" collapsed="false">
      <c r="A52" s="2" t="s">
        <v>44</v>
      </c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46</v>
      </c>
    </row>
    <row r="3" customFormat="false" ht="15" hidden="false" customHeight="false" outlineLevel="0" collapsed="false">
      <c r="A3" s="3" t="s">
        <v>47</v>
      </c>
      <c r="B3" s="3" t="s">
        <v>48</v>
      </c>
    </row>
    <row r="4" customFormat="false" ht="15" hidden="false" customHeight="false" outlineLevel="0" collapsed="false">
      <c r="A4" s="2" t="s">
        <v>49</v>
      </c>
      <c r="B4" s="4" t="n">
        <v>16675906</v>
      </c>
    </row>
    <row r="5" customFormat="false" ht="15" hidden="false" customHeight="false" outlineLevel="0" collapsed="false">
      <c r="A5" s="2" t="s">
        <v>50</v>
      </c>
      <c r="B5" s="4" t="n">
        <v>10295061</v>
      </c>
    </row>
    <row r="6" customFormat="false" ht="15" hidden="false" customHeight="false" outlineLevel="0" collapsed="false">
      <c r="A6" s="2" t="s">
        <v>51</v>
      </c>
      <c r="B6" s="4" t="n">
        <v>9314017</v>
      </c>
    </row>
    <row r="7" customFormat="false" ht="15" hidden="false" customHeight="false" outlineLevel="0" collapsed="false">
      <c r="A7" s="2" t="s">
        <v>52</v>
      </c>
      <c r="B7" s="4" t="n">
        <v>981044</v>
      </c>
    </row>
    <row r="8" customFormat="false" ht="15" hidden="false" customHeight="false" outlineLevel="0" collapsed="false">
      <c r="A8" s="2" t="s">
        <v>53</v>
      </c>
      <c r="B8" s="4" t="n">
        <v>893873</v>
      </c>
    </row>
    <row r="9" customFormat="false" ht="15" hidden="false" customHeight="false" outlineLevel="0" collapsed="false">
      <c r="A9" s="2" t="s">
        <v>54</v>
      </c>
      <c r="B9" s="4" t="n">
        <v>87171</v>
      </c>
    </row>
    <row r="10" customFormat="false" ht="15" hidden="false" customHeight="false" outlineLevel="0" collapsed="false">
      <c r="A10" s="2" t="s">
        <v>55</v>
      </c>
      <c r="B10" s="5" t="n">
        <f aca="false">B7/B5*100</f>
        <v>9.52926845212476</v>
      </c>
    </row>
    <row r="11" customFormat="false" ht="15" hidden="false" customHeight="false" outlineLevel="0" collapsed="false">
      <c r="A11" s="2" t="s">
        <v>56</v>
      </c>
      <c r="B11" s="5" t="n">
        <f aca="false">B8/B5*100</f>
        <v>8.68254204613261</v>
      </c>
    </row>
    <row r="12" customFormat="false" ht="15" hidden="false" customHeight="false" outlineLevel="0" collapsed="false">
      <c r="A12" s="2" t="s">
        <v>57</v>
      </c>
      <c r="B12" s="4" t="n">
        <v>97946</v>
      </c>
    </row>
    <row r="13" customFormat="false" ht="15" hidden="false" customHeight="false" outlineLevel="0" collapsed="false">
      <c r="A13" s="2" t="s">
        <v>58</v>
      </c>
      <c r="B13" s="4" t="n">
        <v>4412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59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  <c r="E3" s="6" t="s">
        <v>50</v>
      </c>
      <c r="F3" s="6" t="s">
        <v>55</v>
      </c>
    </row>
    <row r="4" customFormat="false" ht="15" hidden="false" customHeight="false" outlineLevel="0" collapsed="false">
      <c r="A4" s="2" t="s">
        <v>63</v>
      </c>
      <c r="B4" s="4" t="n">
        <v>2202</v>
      </c>
      <c r="C4" s="4" t="n">
        <v>515330</v>
      </c>
      <c r="D4" s="5" t="n">
        <f aca="false">IFERROR(C4/$C$6*100,"")</f>
        <v>52.5287346948761</v>
      </c>
      <c r="E4" s="4" t="n">
        <v>5768244</v>
      </c>
      <c r="F4" s="5" t="n">
        <f aca="false">IFERROR(C4/E4*100,"")</f>
        <v>8.93391472344096</v>
      </c>
    </row>
    <row r="5" customFormat="false" ht="15" hidden="false" customHeight="false" outlineLevel="0" collapsed="false">
      <c r="A5" s="2" t="s">
        <v>64</v>
      </c>
      <c r="B5" s="4" t="n">
        <v>2210</v>
      </c>
      <c r="C5" s="4" t="n">
        <v>465714</v>
      </c>
      <c r="D5" s="5" t="n">
        <f aca="false">IFERROR(C5/$C$6*100,"")</f>
        <v>47.4712653051239</v>
      </c>
      <c r="E5" s="4" t="n">
        <v>4526817</v>
      </c>
      <c r="F5" s="5" t="n">
        <f aca="false">IFERROR(C5/E5*100,"")</f>
        <v>10.2878910280667</v>
      </c>
    </row>
    <row r="6" customFormat="false" ht="15" hidden="false" customHeight="false" outlineLevel="0" collapsed="false">
      <c r="A6" s="7" t="s">
        <v>65</v>
      </c>
      <c r="B6" s="8" t="n">
        <f aca="false">SUM(B4:B5)</f>
        <v>4412</v>
      </c>
      <c r="C6" s="8" t="n">
        <f aca="false">SUM(C4:C5)</f>
        <v>981044</v>
      </c>
      <c r="D6" s="9" t="n">
        <f aca="false">SUM(D4:D5)</f>
        <v>100</v>
      </c>
      <c r="E6" s="8" t="n">
        <f aca="false">SUM(E4:E5)</f>
        <v>10295061</v>
      </c>
      <c r="F6" s="9" t="n">
        <f aca="false">IFERROR(C6/E6*100,"")</f>
        <v>9.52926845212476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66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  <c r="E3" s="6" t="s">
        <v>50</v>
      </c>
      <c r="F3" s="6" t="s">
        <v>55</v>
      </c>
    </row>
    <row r="4" customFormat="false" ht="15" hidden="false" customHeight="false" outlineLevel="0" collapsed="false">
      <c r="A4" s="2" t="s">
        <v>67</v>
      </c>
      <c r="B4" s="4" t="n">
        <v>204</v>
      </c>
      <c r="C4" s="4" t="n">
        <v>42960</v>
      </c>
      <c r="D4" s="5" t="n">
        <f aca="false">IFERROR(C4/$C$16*100,"")</f>
        <v>4.37900402122227</v>
      </c>
      <c r="E4" s="4" t="n">
        <v>126010</v>
      </c>
      <c r="F4" s="5" t="n">
        <f aca="false">IFERROR(C4/E4*100,"")</f>
        <v>34.0925323387033</v>
      </c>
    </row>
    <row r="5" customFormat="false" ht="15" hidden="false" customHeight="false" outlineLevel="0" collapsed="false">
      <c r="A5" s="2" t="s">
        <v>68</v>
      </c>
      <c r="B5" s="4" t="n">
        <v>651</v>
      </c>
      <c r="C5" s="4" t="n">
        <v>124374</v>
      </c>
      <c r="D5" s="5" t="n">
        <f aca="false">IFERROR(C5/$C$16*100,"")</f>
        <v>12.6777059156308</v>
      </c>
      <c r="E5" s="4" t="n">
        <v>584729</v>
      </c>
      <c r="F5" s="5" t="n">
        <f aca="false">IFERROR(C5/E5*100,"")</f>
        <v>21.2703662722389</v>
      </c>
    </row>
    <row r="6" customFormat="false" ht="15" hidden="false" customHeight="false" outlineLevel="0" collapsed="false">
      <c r="A6" s="2" t="s">
        <v>69</v>
      </c>
      <c r="B6" s="4" t="n">
        <v>703</v>
      </c>
      <c r="C6" s="4" t="n">
        <v>171743</v>
      </c>
      <c r="D6" s="5" t="n">
        <f aca="false">IFERROR(C6/$C$16*100,"")</f>
        <v>17.5061286689194</v>
      </c>
      <c r="E6" s="4" t="n">
        <v>1126307</v>
      </c>
      <c r="F6" s="5" t="n">
        <f aca="false">IFERROR(C6/E6*100,"")</f>
        <v>15.2483292743453</v>
      </c>
    </row>
    <row r="7" customFormat="false" ht="15" hidden="false" customHeight="false" outlineLevel="0" collapsed="false">
      <c r="A7" s="2" t="s">
        <v>70</v>
      </c>
      <c r="B7" s="4" t="n">
        <v>500</v>
      </c>
      <c r="C7" s="4" t="n">
        <v>138392</v>
      </c>
      <c r="D7" s="5" t="n">
        <f aca="false">IFERROR(C7/$C$16*100,"")</f>
        <v>14.1065904214384</v>
      </c>
      <c r="E7" s="4" t="n">
        <v>1414099</v>
      </c>
      <c r="F7" s="5" t="n">
        <f aca="false">IFERROR(C7/E7*100,"")</f>
        <v>9.78658495621594</v>
      </c>
    </row>
    <row r="8" customFormat="false" ht="15" hidden="false" customHeight="false" outlineLevel="0" collapsed="false">
      <c r="A8" s="2" t="s">
        <v>71</v>
      </c>
      <c r="B8" s="4" t="n">
        <v>464</v>
      </c>
      <c r="C8" s="4" t="n">
        <v>120087</v>
      </c>
      <c r="D8" s="5" t="n">
        <f aca="false">IFERROR(C8/$C$16*100,"")</f>
        <v>12.2407229026191</v>
      </c>
      <c r="E8" s="4" t="n">
        <v>1437085</v>
      </c>
      <c r="F8" s="5" t="n">
        <f aca="false">IFERROR(C8/E8*100,"")</f>
        <v>8.35629068565882</v>
      </c>
    </row>
    <row r="9" customFormat="false" ht="15" hidden="false" customHeight="false" outlineLevel="0" collapsed="false">
      <c r="A9" s="2" t="s">
        <v>72</v>
      </c>
      <c r="B9" s="4" t="n">
        <v>405</v>
      </c>
      <c r="C9" s="4" t="n">
        <v>87217</v>
      </c>
      <c r="D9" s="5" t="n">
        <f aca="false">IFERROR(C9/$C$16*100,"")</f>
        <v>8.89021400649308</v>
      </c>
      <c r="E9" s="4" t="n">
        <v>1249296</v>
      </c>
      <c r="F9" s="5" t="n">
        <f aca="false">IFERROR(C9/E9*100,"")</f>
        <v>6.98129186357757</v>
      </c>
    </row>
    <row r="10" customFormat="false" ht="15" hidden="false" customHeight="false" outlineLevel="0" collapsed="false">
      <c r="A10" s="2" t="s">
        <v>73</v>
      </c>
      <c r="B10" s="4" t="n">
        <v>369</v>
      </c>
      <c r="C10" s="4" t="n">
        <v>79066</v>
      </c>
      <c r="D10" s="5" t="n">
        <f aca="false">IFERROR(C10/$C$16*100,"")</f>
        <v>8.0593652686676</v>
      </c>
      <c r="E10" s="4" t="n">
        <v>1121449</v>
      </c>
      <c r="F10" s="5" t="n">
        <f aca="false">IFERROR(C10/E10*100,"")</f>
        <v>7.05034290458148</v>
      </c>
    </row>
    <row r="11" customFormat="false" ht="15" hidden="false" customHeight="false" outlineLevel="0" collapsed="false">
      <c r="A11" s="2" t="s">
        <v>74</v>
      </c>
      <c r="B11" s="4" t="n">
        <v>353</v>
      </c>
      <c r="C11" s="4" t="n">
        <v>75424</v>
      </c>
      <c r="D11" s="5" t="n">
        <f aca="false">IFERROR(C11/$C$16*100,"")</f>
        <v>7.68812847524833</v>
      </c>
      <c r="E11" s="4" t="n">
        <v>1010102</v>
      </c>
      <c r="F11" s="5" t="n">
        <f aca="false">IFERROR(C11/E11*100,"")</f>
        <v>7.46696868237069</v>
      </c>
    </row>
    <row r="12" customFormat="false" ht="15" hidden="false" customHeight="false" outlineLevel="0" collapsed="false">
      <c r="A12" s="2" t="s">
        <v>75</v>
      </c>
      <c r="B12" s="4" t="n">
        <v>337</v>
      </c>
      <c r="C12" s="4" t="n">
        <v>66233</v>
      </c>
      <c r="D12" s="5" t="n">
        <f aca="false">IFERROR(C12/$C$16*100,"")</f>
        <v>6.75127032908786</v>
      </c>
      <c r="E12" s="4" t="n">
        <v>877641</v>
      </c>
      <c r="F12" s="5" t="n">
        <f aca="false">IFERROR(C12/E12*100,"")</f>
        <v>7.54670759456315</v>
      </c>
    </row>
    <row r="13" customFormat="false" ht="15" hidden="false" customHeight="false" outlineLevel="0" collapsed="false">
      <c r="A13" s="2" t="s">
        <v>76</v>
      </c>
      <c r="B13" s="4" t="n">
        <v>264</v>
      </c>
      <c r="C13" s="4" t="n">
        <v>47526</v>
      </c>
      <c r="D13" s="5" t="n">
        <f aca="false">IFERROR(C13/$C$16*100,"")</f>
        <v>4.84442609666223</v>
      </c>
      <c r="E13" s="4" t="n">
        <v>709469</v>
      </c>
      <c r="F13" s="5" t="n">
        <f aca="false">IFERROR(C13/E13*100,"")</f>
        <v>6.6988127740606</v>
      </c>
    </row>
    <row r="14" customFormat="false" ht="15" hidden="false" customHeight="false" outlineLevel="0" collapsed="false">
      <c r="A14" s="2" t="s">
        <v>77</v>
      </c>
      <c r="B14" s="4" t="n">
        <v>116</v>
      </c>
      <c r="C14" s="4" t="n">
        <v>20068</v>
      </c>
      <c r="D14" s="5" t="n">
        <f aca="false">IFERROR(C14/$C$16*100,"")</f>
        <v>2.04557385237171</v>
      </c>
      <c r="E14" s="4" t="n">
        <v>369221</v>
      </c>
      <c r="F14" s="5" t="n">
        <f aca="false">IFERROR(C14/E14*100,"")</f>
        <v>5.43522714038476</v>
      </c>
    </row>
    <row r="15" customFormat="false" ht="15" hidden="false" customHeight="false" outlineLevel="0" collapsed="false">
      <c r="A15" s="2" t="s">
        <v>78</v>
      </c>
      <c r="B15" s="4" t="n">
        <v>46</v>
      </c>
      <c r="C15" s="4" t="n">
        <v>7955</v>
      </c>
      <c r="D15" s="5" t="n">
        <f aca="false">IFERROR(C15/$C$16*100,"")</f>
        <v>0.810870041639273</v>
      </c>
      <c r="E15" s="4" t="n">
        <v>269652</v>
      </c>
      <c r="F15" s="5" t="n">
        <f aca="false">IFERROR(C15/E15*100,"")</f>
        <v>2.95009864566182</v>
      </c>
    </row>
    <row r="16" customFormat="false" ht="15" hidden="false" customHeight="false" outlineLevel="0" collapsed="false">
      <c r="A16" s="7" t="s">
        <v>65</v>
      </c>
      <c r="B16" s="8" t="n">
        <f aca="false">SUM(B4:B15)</f>
        <v>4412</v>
      </c>
      <c r="C16" s="8" t="n">
        <f aca="false">SUM(C4:C15)</f>
        <v>981045</v>
      </c>
      <c r="D16" s="9" t="n">
        <f aca="false">SUM(D4:D15)</f>
        <v>100</v>
      </c>
      <c r="E16" s="8" t="n">
        <f aca="false">SUM(E4:E15)</f>
        <v>10295060</v>
      </c>
      <c r="F16" s="9" t="n">
        <f aca="false">IFERROR(C16/E16*100,"")</f>
        <v>9.52927909113692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79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  <c r="E3" s="6" t="s">
        <v>50</v>
      </c>
      <c r="F3" s="6" t="s">
        <v>55</v>
      </c>
    </row>
    <row r="4" customFormat="false" ht="15" hidden="false" customHeight="false" outlineLevel="0" collapsed="false">
      <c r="A4" s="2" t="s">
        <v>80</v>
      </c>
      <c r="B4" s="4" t="n">
        <v>122</v>
      </c>
      <c r="C4" s="4" t="n">
        <v>12968</v>
      </c>
      <c r="D4" s="5" t="n">
        <f aca="false">IFERROR(C4/$C$20*100,"")</f>
        <v>1.32185712363564</v>
      </c>
      <c r="E4" s="4" t="n">
        <v>129617</v>
      </c>
      <c r="F4" s="5" t="n">
        <f aca="false">IFERROR(C4/E4*100,"")</f>
        <v>10.004860473549</v>
      </c>
    </row>
    <row r="5" customFormat="false" ht="15" hidden="false" customHeight="false" outlineLevel="0" collapsed="false">
      <c r="A5" s="2" t="s">
        <v>81</v>
      </c>
      <c r="B5" s="4" t="n">
        <v>87</v>
      </c>
      <c r="C5" s="4" t="n">
        <v>16834</v>
      </c>
      <c r="D5" s="5" t="n">
        <f aca="false">IFERROR(C5/$C$20*100,"")</f>
        <v>1.71592711438019</v>
      </c>
      <c r="E5" s="4" t="n">
        <v>215492</v>
      </c>
      <c r="F5" s="5" t="n">
        <f aca="false">IFERROR(C5/E5*100,"")</f>
        <v>7.81189092866557</v>
      </c>
    </row>
    <row r="6" customFormat="false" ht="15" hidden="false" customHeight="false" outlineLevel="0" collapsed="false">
      <c r="A6" s="2" t="s">
        <v>82</v>
      </c>
      <c r="B6" s="4" t="n">
        <v>126</v>
      </c>
      <c r="C6" s="4" t="n">
        <v>25536</v>
      </c>
      <c r="D6" s="5" t="n">
        <f aca="false">IFERROR(C6/$C$20*100,"")</f>
        <v>2.60294135635099</v>
      </c>
      <c r="E6" s="4" t="n">
        <v>391647</v>
      </c>
      <c r="F6" s="5" t="n">
        <f aca="false">IFERROR(C6/E6*100,"")</f>
        <v>6.52015718236065</v>
      </c>
    </row>
    <row r="7" customFormat="false" ht="15" hidden="false" customHeight="false" outlineLevel="0" collapsed="false">
      <c r="A7" s="2" t="s">
        <v>83</v>
      </c>
      <c r="B7" s="4" t="n">
        <v>174</v>
      </c>
      <c r="C7" s="4" t="n">
        <v>15529</v>
      </c>
      <c r="D7" s="5" t="n">
        <f aca="false">IFERROR(C7/$C$20*100,"")</f>
        <v>1.58290555775276</v>
      </c>
      <c r="E7" s="4" t="n">
        <v>169750</v>
      </c>
      <c r="F7" s="5" t="n">
        <f aca="false">IFERROR(C7/E7*100,"")</f>
        <v>9.14815905743741</v>
      </c>
    </row>
    <row r="8" customFormat="false" ht="15" hidden="false" customHeight="false" outlineLevel="0" collapsed="false">
      <c r="A8" s="2" t="s">
        <v>84</v>
      </c>
      <c r="B8" s="4" t="n">
        <v>241</v>
      </c>
      <c r="C8" s="4" t="n">
        <v>40600</v>
      </c>
      <c r="D8" s="5" t="n">
        <f aca="false">IFERROR(C8/$C$20*100,"")</f>
        <v>4.13844842840892</v>
      </c>
      <c r="E8" s="4" t="n">
        <v>428716</v>
      </c>
      <c r="F8" s="5" t="n">
        <f aca="false">IFERROR(C8/E8*100,"")</f>
        <v>9.47013873986509</v>
      </c>
    </row>
    <row r="9" customFormat="false" ht="15" hidden="false" customHeight="false" outlineLevel="0" collapsed="false">
      <c r="A9" s="2" t="s">
        <v>85</v>
      </c>
      <c r="B9" s="4" t="n">
        <v>585</v>
      </c>
      <c r="C9" s="4" t="n">
        <v>106602</v>
      </c>
      <c r="D9" s="5" t="n">
        <f aca="false">IFERROR(C9/$C$20*100,"")</f>
        <v>10.8661792947105</v>
      </c>
      <c r="E9" s="4" t="n">
        <v>1026985</v>
      </c>
      <c r="F9" s="5" t="n">
        <f aca="false">IFERROR(C9/E9*100,"")</f>
        <v>10.3800931853922</v>
      </c>
    </row>
    <row r="10" customFormat="false" ht="15" hidden="false" customHeight="false" outlineLevel="0" collapsed="false">
      <c r="A10" s="2" t="s">
        <v>86</v>
      </c>
      <c r="B10" s="4" t="n">
        <v>934</v>
      </c>
      <c r="C10" s="4" t="n">
        <v>435498</v>
      </c>
      <c r="D10" s="5" t="n">
        <f aca="false">IFERROR(C10/$C$20*100,"")</f>
        <v>44.3912811250056</v>
      </c>
      <c r="E10" s="4" t="n">
        <v>4588180</v>
      </c>
      <c r="F10" s="5" t="n">
        <f aca="false">IFERROR(C10/E10*100,"")</f>
        <v>9.49173746452842</v>
      </c>
    </row>
    <row r="11" customFormat="false" ht="15" hidden="false" customHeight="false" outlineLevel="0" collapsed="false">
      <c r="A11" s="2" t="s">
        <v>87</v>
      </c>
      <c r="B11" s="4" t="n">
        <v>285</v>
      </c>
      <c r="C11" s="4" t="n">
        <v>51035</v>
      </c>
      <c r="D11" s="5" t="n">
        <f aca="false">IFERROR(C11/$C$20*100,"")</f>
        <v>5.20211122029185</v>
      </c>
      <c r="E11" s="4" t="n">
        <v>486227</v>
      </c>
      <c r="F11" s="5" t="n">
        <f aca="false">IFERROR(C11/E11*100,"")</f>
        <v>10.4961262949199</v>
      </c>
    </row>
    <row r="12" customFormat="false" ht="15" hidden="false" customHeight="false" outlineLevel="0" collapsed="false">
      <c r="A12" s="2" t="s">
        <v>88</v>
      </c>
      <c r="B12" s="4" t="n">
        <v>323</v>
      </c>
      <c r="C12" s="4" t="n">
        <v>55376</v>
      </c>
      <c r="D12" s="5" t="n">
        <f aca="false">IFERROR(C12/$C$20*100,"")</f>
        <v>5.64459901900424</v>
      </c>
      <c r="E12" s="4" t="n">
        <v>551606</v>
      </c>
      <c r="F12" s="5" t="n">
        <f aca="false">IFERROR(C12/E12*100,"")</f>
        <v>10.0390496114981</v>
      </c>
    </row>
    <row r="13" customFormat="false" ht="15" hidden="false" customHeight="false" outlineLevel="0" collapsed="false">
      <c r="A13" s="2" t="s">
        <v>89</v>
      </c>
      <c r="B13" s="4" t="n">
        <v>204</v>
      </c>
      <c r="C13" s="4" t="n">
        <v>26892</v>
      </c>
      <c r="D13" s="5" t="n">
        <f aca="false">IFERROR(C13/$C$20*100,"")</f>
        <v>2.74116145657076</v>
      </c>
      <c r="E13" s="4" t="n">
        <v>245343</v>
      </c>
      <c r="F13" s="5" t="n">
        <f aca="false">IFERROR(C13/E13*100,"")</f>
        <v>10.9609811569925</v>
      </c>
    </row>
    <row r="14" customFormat="false" ht="15" hidden="false" customHeight="false" outlineLevel="0" collapsed="false">
      <c r="A14" s="2" t="s">
        <v>90</v>
      </c>
      <c r="B14" s="4" t="n">
        <v>562</v>
      </c>
      <c r="C14" s="4" t="n">
        <v>83122</v>
      </c>
      <c r="D14" s="5" t="n">
        <f aca="false">IFERROR(C14/$C$20*100,"")</f>
        <v>8.47281059768981</v>
      </c>
      <c r="E14" s="4" t="n">
        <v>783373</v>
      </c>
      <c r="F14" s="5" t="n">
        <f aca="false">IFERROR(C14/E14*100,"")</f>
        <v>10.6107818370049</v>
      </c>
    </row>
    <row r="15" customFormat="false" ht="15" hidden="false" customHeight="false" outlineLevel="0" collapsed="false">
      <c r="A15" s="2" t="s">
        <v>91</v>
      </c>
      <c r="B15" s="4" t="n">
        <v>235</v>
      </c>
      <c r="C15" s="4" t="n">
        <v>48197</v>
      </c>
      <c r="D15" s="5" t="n">
        <f aca="false">IFERROR(C15/$C$20*100,"")</f>
        <v>4.91282755921243</v>
      </c>
      <c r="E15" s="4" t="n">
        <v>482049</v>
      </c>
      <c r="F15" s="5" t="n">
        <f aca="false">IFERROR(C15/E15*100,"")</f>
        <v>9.99836116245444</v>
      </c>
    </row>
    <row r="16" customFormat="false" ht="15" hidden="false" customHeight="false" outlineLevel="0" collapsed="false">
      <c r="A16" s="2" t="s">
        <v>92</v>
      </c>
      <c r="B16" s="4" t="n">
        <v>198</v>
      </c>
      <c r="C16" s="4" t="n">
        <v>21230</v>
      </c>
      <c r="D16" s="5" t="n">
        <f aca="false">IFERROR(C16/$C$20*100,"")</f>
        <v>2.16402118559412</v>
      </c>
      <c r="E16" s="4" t="n">
        <v>200806</v>
      </c>
      <c r="F16" s="5" t="n">
        <f aca="false">IFERROR(C16/E16*100,"")</f>
        <v>10.5723932551816</v>
      </c>
    </row>
    <row r="17" customFormat="false" ht="15" hidden="false" customHeight="false" outlineLevel="0" collapsed="false">
      <c r="A17" s="2" t="s">
        <v>93</v>
      </c>
      <c r="B17" s="4" t="n">
        <v>217</v>
      </c>
      <c r="C17" s="4" t="n">
        <v>33009</v>
      </c>
      <c r="D17" s="5" t="n">
        <f aca="false">IFERROR(C17/$C$20*100,"")</f>
        <v>3.36468089096921</v>
      </c>
      <c r="E17" s="4" t="n">
        <v>430340</v>
      </c>
      <c r="F17" s="5" t="n">
        <f aca="false">IFERROR(C17/E17*100,"")</f>
        <v>7.67044662359994</v>
      </c>
    </row>
    <row r="18" customFormat="false" ht="15" hidden="false" customHeight="false" outlineLevel="0" collapsed="false">
      <c r="A18" s="2" t="s">
        <v>94</v>
      </c>
      <c r="B18" s="4" t="n">
        <v>52</v>
      </c>
      <c r="C18" s="4" t="n">
        <v>2327</v>
      </c>
      <c r="D18" s="5" t="n">
        <f aca="false">IFERROR(C18/$C$20*100,"")</f>
        <v>0.237196292928758</v>
      </c>
      <c r="E18" s="4" t="n">
        <v>58827</v>
      </c>
      <c r="F18" s="5" t="n">
        <f aca="false">IFERROR(C18/E18*100,"")</f>
        <v>3.95566661566968</v>
      </c>
    </row>
    <row r="19" customFormat="false" ht="15" hidden="false" customHeight="false" outlineLevel="0" collapsed="false">
      <c r="A19" s="2" t="s">
        <v>95</v>
      </c>
      <c r="B19" s="4" t="n">
        <v>67</v>
      </c>
      <c r="C19" s="4" t="n">
        <v>6289</v>
      </c>
      <c r="D19" s="5" t="n">
        <f aca="false">IFERROR(C19/$C$20*100,"")</f>
        <v>0.64105177749418</v>
      </c>
      <c r="E19" s="4" t="n">
        <v>106102</v>
      </c>
      <c r="F19" s="5" t="n">
        <f aca="false">IFERROR(C19/E19*100,"")</f>
        <v>5.9273152249722</v>
      </c>
    </row>
    <row r="20" customFormat="false" ht="15" hidden="false" customHeight="false" outlineLevel="0" collapsed="false">
      <c r="A20" s="7" t="s">
        <v>65</v>
      </c>
      <c r="B20" s="8" t="n">
        <f aca="false">SUM(B4:B19)</f>
        <v>4412</v>
      </c>
      <c r="C20" s="8" t="n">
        <f aca="false">SUM(C4:C19)</f>
        <v>981044</v>
      </c>
      <c r="D20" s="9" t="n">
        <f aca="false">SUM(D4:D19)</f>
        <v>100</v>
      </c>
      <c r="E20" s="8" t="n">
        <f aca="false">SUM(E4:E19)</f>
        <v>10295060</v>
      </c>
      <c r="F20" s="9" t="n">
        <f aca="false">IFERROR(C20/E20*100,"")</f>
        <v>9.52926937774039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96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  <c r="E3" s="6" t="s">
        <v>50</v>
      </c>
      <c r="F3" s="6" t="s">
        <v>55</v>
      </c>
    </row>
    <row r="4" customFormat="false" ht="15" hidden="false" customHeight="false" outlineLevel="0" collapsed="false">
      <c r="A4" s="2" t="s">
        <v>97</v>
      </c>
      <c r="B4" s="4" t="n">
        <v>121</v>
      </c>
      <c r="C4" s="4" t="n">
        <v>12843</v>
      </c>
      <c r="D4" s="5" t="n">
        <f aca="false">IFERROR(C4/$C$56*100,"")</f>
        <v>1.30911292640712</v>
      </c>
      <c r="E4" s="4" t="n">
        <v>128735</v>
      </c>
      <c r="F4" s="5" t="n">
        <f aca="false">IFERROR(C4/E4*100,"")</f>
        <v>9.97630791936925</v>
      </c>
    </row>
    <row r="5" customFormat="false" ht="15" hidden="false" customHeight="false" outlineLevel="0" collapsed="false">
      <c r="A5" s="2" t="s">
        <v>98</v>
      </c>
      <c r="B5" s="4" t="n">
        <v>1</v>
      </c>
      <c r="C5" s="4" t="n">
        <v>124</v>
      </c>
      <c r="D5" s="5" t="n">
        <f aca="false">IFERROR(C5/$C$56*100,"")</f>
        <v>0.012639570417697</v>
      </c>
      <c r="E5" s="4" t="n">
        <v>882</v>
      </c>
      <c r="F5" s="5" t="n">
        <f aca="false">IFERROR(C5/E5*100,"")</f>
        <v>14.0589569160998</v>
      </c>
    </row>
    <row r="6" customFormat="false" ht="15" hidden="false" customHeight="false" outlineLevel="0" collapsed="false">
      <c r="A6" s="2" t="s">
        <v>99</v>
      </c>
      <c r="B6" s="4" t="n">
        <v>81</v>
      </c>
      <c r="C6" s="4" t="n">
        <v>16361</v>
      </c>
      <c r="D6" s="5" t="n">
        <f aca="false">IFERROR(C6/$C$56*100,"")</f>
        <v>1.66770977099952</v>
      </c>
      <c r="E6" s="4" t="n">
        <v>199456</v>
      </c>
      <c r="F6" s="5" t="n">
        <f aca="false">IFERROR(C6/E6*100,"")</f>
        <v>8.20281164768169</v>
      </c>
    </row>
    <row r="7" customFormat="false" ht="15" hidden="false" customHeight="false" outlineLevel="0" collapsed="false">
      <c r="A7" s="2" t="s">
        <v>100</v>
      </c>
      <c r="B7" s="4" t="n">
        <v>6</v>
      </c>
      <c r="C7" s="4" t="n">
        <v>474</v>
      </c>
      <c r="D7" s="5" t="n">
        <f aca="false">IFERROR(C7/$C$56*100,"")</f>
        <v>0.0483157772418419</v>
      </c>
      <c r="E7" s="4" t="n">
        <v>16036</v>
      </c>
      <c r="F7" s="5" t="n">
        <f aca="false">IFERROR(C7/E7*100,"")</f>
        <v>2.95584933898728</v>
      </c>
    </row>
    <row r="8" customFormat="false" ht="15" hidden="false" customHeight="false" outlineLevel="0" collapsed="false">
      <c r="A8" s="2" t="s">
        <v>101</v>
      </c>
      <c r="B8" s="4" t="n">
        <v>75</v>
      </c>
      <c r="C8" s="4" t="n">
        <v>16065</v>
      </c>
      <c r="D8" s="5" t="n">
        <f aca="false">IFERROR(C8/$C$56*100,"")</f>
        <v>1.63753789322825</v>
      </c>
      <c r="E8" s="4" t="n">
        <v>258584</v>
      </c>
      <c r="F8" s="5" t="n">
        <f aca="false">IFERROR(C8/E8*100,"")</f>
        <v>6.21268137239736</v>
      </c>
    </row>
    <row r="9" customFormat="false" ht="15" hidden="false" customHeight="false" outlineLevel="0" collapsed="false">
      <c r="A9" s="2" t="s">
        <v>102</v>
      </c>
      <c r="B9" s="4" t="n">
        <v>43</v>
      </c>
      <c r="C9" s="4" t="n">
        <v>8435</v>
      </c>
      <c r="D9" s="5" t="n">
        <f aca="false">IFERROR(C9/$C$56*100,"")</f>
        <v>0.859796584461891</v>
      </c>
      <c r="E9" s="4" t="n">
        <v>115065</v>
      </c>
      <c r="F9" s="5" t="n">
        <f aca="false">IFERROR(C9/E9*100,"")</f>
        <v>7.33063920392821</v>
      </c>
    </row>
    <row r="10" customFormat="false" ht="15" hidden="false" customHeight="false" outlineLevel="0" collapsed="false">
      <c r="A10" s="2" t="s">
        <v>103</v>
      </c>
      <c r="B10" s="4" t="n">
        <v>8</v>
      </c>
      <c r="C10" s="4" t="n">
        <v>1037</v>
      </c>
      <c r="D10" s="5" t="n">
        <f aca="false">IFERROR(C10/$C$56*100,"")</f>
        <v>0.105703504218966</v>
      </c>
      <c r="E10" s="4" t="n">
        <v>17999</v>
      </c>
      <c r="F10" s="5" t="n">
        <f aca="false">IFERROR(C10/E10*100,"")</f>
        <v>5.7614311906217</v>
      </c>
    </row>
    <row r="11" customFormat="false" ht="15" hidden="false" customHeight="false" outlineLevel="0" collapsed="false">
      <c r="A11" s="2" t="s">
        <v>104</v>
      </c>
      <c r="B11" s="4" t="n">
        <v>117</v>
      </c>
      <c r="C11" s="4" t="n">
        <v>10482</v>
      </c>
      <c r="D11" s="5" t="n">
        <f aca="false">IFERROR(C11/$C$56*100,"")</f>
        <v>1.06845142837339</v>
      </c>
      <c r="E11" s="4" t="n">
        <v>112407</v>
      </c>
      <c r="F11" s="5" t="n">
        <f aca="false">IFERROR(C11/E11*100,"")</f>
        <v>9.32504203474873</v>
      </c>
    </row>
    <row r="12" customFormat="false" ht="15" hidden="false" customHeight="false" outlineLevel="0" collapsed="false">
      <c r="A12" s="2" t="s">
        <v>105</v>
      </c>
      <c r="B12" s="4" t="n">
        <v>13</v>
      </c>
      <c r="C12" s="4" t="n">
        <v>1092</v>
      </c>
      <c r="D12" s="5" t="n">
        <f aca="false">IFERROR(C12/$C$56*100,"")</f>
        <v>0.111309765291332</v>
      </c>
      <c r="E12" s="4" t="n">
        <v>14663</v>
      </c>
      <c r="F12" s="5" t="n">
        <f aca="false">IFERROR(C12/E12*100,"")</f>
        <v>7.44731637454818</v>
      </c>
    </row>
    <row r="13" customFormat="false" ht="15" hidden="false" customHeight="false" outlineLevel="0" collapsed="false">
      <c r="A13" s="2" t="s">
        <v>106</v>
      </c>
      <c r="B13" s="4" t="n">
        <v>44</v>
      </c>
      <c r="C13" s="4" t="n">
        <v>3956</v>
      </c>
      <c r="D13" s="5" t="n">
        <f aca="false">IFERROR(C13/$C$56*100,"")</f>
        <v>0.403243069132334</v>
      </c>
      <c r="E13" s="4" t="n">
        <v>42680</v>
      </c>
      <c r="F13" s="5" t="n">
        <f aca="false">IFERROR(C13/E13*100,"")</f>
        <v>9.26897844423618</v>
      </c>
    </row>
    <row r="14" customFormat="false" ht="15" hidden="false" customHeight="false" outlineLevel="0" collapsed="false">
      <c r="A14" s="2" t="s">
        <v>107</v>
      </c>
      <c r="B14" s="4" t="n">
        <v>166</v>
      </c>
      <c r="C14" s="4" t="n">
        <v>30999</v>
      </c>
      <c r="D14" s="5" t="n">
        <f aca="false">IFERROR(C14/$C$56*100,"")</f>
        <v>3.15979067240476</v>
      </c>
      <c r="E14" s="4" t="n">
        <v>294032</v>
      </c>
      <c r="F14" s="5" t="n">
        <f aca="false">IFERROR(C14/E14*100,"")</f>
        <v>10.5427300429885</v>
      </c>
    </row>
    <row r="15" customFormat="false" ht="15" hidden="false" customHeight="false" outlineLevel="0" collapsed="false">
      <c r="A15" s="2" t="s">
        <v>108</v>
      </c>
      <c r="B15" s="4" t="n">
        <v>22</v>
      </c>
      <c r="C15" s="4" t="n">
        <v>2640</v>
      </c>
      <c r="D15" s="5" t="n">
        <f aca="false">IFERROR(C15/$C$56*100,"")</f>
        <v>0.26910053147355</v>
      </c>
      <c r="E15" s="4" t="n">
        <v>48001</v>
      </c>
      <c r="F15" s="5" t="n">
        <f aca="false">IFERROR(C15/E15*100,"")</f>
        <v>5.49988541905377</v>
      </c>
    </row>
    <row r="16" customFormat="false" ht="15" hidden="false" customHeight="false" outlineLevel="0" collapsed="false">
      <c r="A16" s="2" t="s">
        <v>109</v>
      </c>
      <c r="B16" s="4" t="n">
        <v>53</v>
      </c>
      <c r="C16" s="4" t="n">
        <v>6961</v>
      </c>
      <c r="D16" s="5" t="n">
        <f aca="false">IFERROR(C16/$C$56*100,"")</f>
        <v>0.709548787722492</v>
      </c>
      <c r="E16" s="4" t="n">
        <v>86683</v>
      </c>
      <c r="F16" s="5" t="n">
        <f aca="false">IFERROR(C16/E16*100,"")</f>
        <v>8.03040965356529</v>
      </c>
    </row>
    <row r="17" customFormat="false" ht="15" hidden="false" customHeight="false" outlineLevel="0" collapsed="false">
      <c r="A17" s="2" t="s">
        <v>110</v>
      </c>
      <c r="B17" s="4" t="n">
        <v>254</v>
      </c>
      <c r="C17" s="4" t="n">
        <v>41500</v>
      </c>
      <c r="D17" s="5" t="n">
        <f aca="false">IFERROR(C17/$C$56*100,"")</f>
        <v>4.2301788091486</v>
      </c>
      <c r="E17" s="4" t="n">
        <v>428490</v>
      </c>
      <c r="F17" s="5" t="n">
        <f aca="false">IFERROR(C17/E17*100,"")</f>
        <v>9.68517351630143</v>
      </c>
    </row>
    <row r="18" customFormat="false" ht="15" hidden="false" customHeight="false" outlineLevel="0" collapsed="false">
      <c r="A18" s="2" t="s">
        <v>111</v>
      </c>
      <c r="B18" s="4" t="n">
        <v>42</v>
      </c>
      <c r="C18" s="4" t="n">
        <v>9710</v>
      </c>
      <c r="D18" s="5" t="n">
        <f aca="false">IFERROR(C18/$C$56*100,"")</f>
        <v>0.989759909321276</v>
      </c>
      <c r="E18" s="4" t="n">
        <v>66163</v>
      </c>
      <c r="F18" s="5" t="n">
        <f aca="false">IFERROR(C18/E18*100,"")</f>
        <v>14.6758762450312</v>
      </c>
    </row>
    <row r="19" customFormat="false" ht="15" hidden="false" customHeight="false" outlineLevel="0" collapsed="false">
      <c r="A19" s="2" t="s">
        <v>112</v>
      </c>
      <c r="B19" s="4" t="n">
        <v>27</v>
      </c>
      <c r="C19" s="4" t="n">
        <v>4497</v>
      </c>
      <c r="D19" s="5" t="n">
        <f aca="false">IFERROR(C19/$C$56*100,"")</f>
        <v>0.458388291680512</v>
      </c>
      <c r="E19" s="4" t="n">
        <v>45133</v>
      </c>
      <c r="F19" s="5" t="n">
        <f aca="false">IFERROR(C19/E19*100,"")</f>
        <v>9.96388451908803</v>
      </c>
    </row>
    <row r="20" customFormat="false" ht="15" hidden="false" customHeight="false" outlineLevel="0" collapsed="false">
      <c r="A20" s="2" t="s">
        <v>113</v>
      </c>
      <c r="B20" s="4" t="n">
        <v>65</v>
      </c>
      <c r="C20" s="4" t="n">
        <v>12908</v>
      </c>
      <c r="D20" s="5" t="n">
        <f aca="false">IFERROR(C20/$C$56*100,"")</f>
        <v>1.31573850767446</v>
      </c>
      <c r="E20" s="4" t="n">
        <v>108975</v>
      </c>
      <c r="F20" s="5" t="n">
        <f aca="false">IFERROR(C20/E20*100,"")</f>
        <v>11.8449185593026</v>
      </c>
    </row>
    <row r="21" customFormat="false" ht="15" hidden="false" customHeight="false" outlineLevel="0" collapsed="false">
      <c r="A21" s="2" t="s">
        <v>114</v>
      </c>
      <c r="B21" s="4" t="n">
        <v>29</v>
      </c>
      <c r="C21" s="4" t="n">
        <v>7022</v>
      </c>
      <c r="D21" s="5" t="n">
        <f aca="false">IFERROR(C21/$C$56*100,"")</f>
        <v>0.715766640911843</v>
      </c>
      <c r="E21" s="4" t="n">
        <v>92087</v>
      </c>
      <c r="F21" s="5" t="n">
        <f aca="false">IFERROR(C21/E21*100,"")</f>
        <v>7.62539772171968</v>
      </c>
    </row>
    <row r="22" customFormat="false" ht="15" hidden="false" customHeight="false" outlineLevel="0" collapsed="false">
      <c r="A22" s="2" t="s">
        <v>115</v>
      </c>
      <c r="B22" s="4" t="n">
        <v>48</v>
      </c>
      <c r="C22" s="4" t="n">
        <v>8101</v>
      </c>
      <c r="D22" s="5" t="n">
        <f aca="false">IFERROR(C22/$C$56*100,"")</f>
        <v>0.825751289949707</v>
      </c>
      <c r="E22" s="4" t="n">
        <v>86839</v>
      </c>
      <c r="F22" s="5" t="n">
        <f aca="false">IFERROR(C22/E22*100,"")</f>
        <v>9.32875781618858</v>
      </c>
    </row>
    <row r="23" customFormat="false" ht="15" hidden="false" customHeight="false" outlineLevel="0" collapsed="false">
      <c r="A23" s="2" t="s">
        <v>116</v>
      </c>
      <c r="B23" s="4" t="n">
        <v>120</v>
      </c>
      <c r="C23" s="4" t="n">
        <v>22865</v>
      </c>
      <c r="D23" s="5" t="n">
        <f aca="false">IFERROR(C23/$C$56*100,"")</f>
        <v>2.33067562581163</v>
      </c>
      <c r="E23" s="4" t="n">
        <v>199298</v>
      </c>
      <c r="F23" s="5" t="n">
        <f aca="false">IFERROR(C23/E23*100,"")</f>
        <v>11.4727694206665</v>
      </c>
    </row>
    <row r="24" customFormat="false" ht="15" hidden="false" customHeight="false" outlineLevel="0" collapsed="false">
      <c r="A24" s="2" t="s">
        <v>117</v>
      </c>
      <c r="B24" s="4" t="n">
        <v>615</v>
      </c>
      <c r="C24" s="4" t="n">
        <v>311298</v>
      </c>
      <c r="D24" s="5" t="n">
        <f aca="false">IFERROR(C24/$C$56*100,"")</f>
        <v>31.7312338055504</v>
      </c>
      <c r="E24" s="4" t="n">
        <v>3430713</v>
      </c>
      <c r="F24" s="5" t="n">
        <f aca="false">IFERROR(C24/E24*100,"")</f>
        <v>9.07385724192027</v>
      </c>
    </row>
    <row r="25" customFormat="false" ht="15" hidden="false" customHeight="false" outlineLevel="0" collapsed="false">
      <c r="A25" s="2" t="s">
        <v>118</v>
      </c>
      <c r="B25" s="4" t="n">
        <v>100</v>
      </c>
      <c r="C25" s="4" t="n">
        <v>50055</v>
      </c>
      <c r="D25" s="5" t="n">
        <f aca="false">IFERROR(C25/$C$56*100,"")</f>
        <v>5.1022072359502</v>
      </c>
      <c r="E25" s="4" t="n">
        <v>387682</v>
      </c>
      <c r="F25" s="5" t="n">
        <f aca="false">IFERROR(C25/E25*100,"")</f>
        <v>12.9113551828561</v>
      </c>
    </row>
    <row r="26" customFormat="false" ht="15" hidden="false" customHeight="false" outlineLevel="0" collapsed="false">
      <c r="A26" s="2" t="s">
        <v>119</v>
      </c>
      <c r="B26" s="4" t="n">
        <v>37</v>
      </c>
      <c r="C26" s="4" t="n">
        <v>17146</v>
      </c>
      <c r="D26" s="5" t="n">
        <f aca="false">IFERROR(C26/$C$56*100,"")</f>
        <v>1.74772640630511</v>
      </c>
      <c r="E26" s="4" t="n">
        <v>204500</v>
      </c>
      <c r="F26" s="5" t="n">
        <f aca="false">IFERROR(C26/E26*100,"")</f>
        <v>8.38435207823961</v>
      </c>
    </row>
    <row r="27" customFormat="false" ht="15" hidden="false" customHeight="false" outlineLevel="0" collapsed="false">
      <c r="A27" s="2" t="s">
        <v>120</v>
      </c>
      <c r="B27" s="4" t="n">
        <v>85</v>
      </c>
      <c r="C27" s="4" t="n">
        <v>31215</v>
      </c>
      <c r="D27" s="5" t="n">
        <f aca="false">IFERROR(C27/$C$56*100,"")</f>
        <v>3.18180798861623</v>
      </c>
      <c r="E27" s="4" t="n">
        <v>297820</v>
      </c>
      <c r="F27" s="5" t="n">
        <f aca="false">IFERROR(C27/E27*100,"")</f>
        <v>10.4811631186623</v>
      </c>
    </row>
    <row r="28" customFormat="false" ht="15" hidden="false" customHeight="false" outlineLevel="0" collapsed="false">
      <c r="A28" s="2" t="s">
        <v>121</v>
      </c>
      <c r="B28" s="4" t="n">
        <v>36</v>
      </c>
      <c r="C28" s="4" t="n">
        <v>7101</v>
      </c>
      <c r="D28" s="5" t="n">
        <f aca="false">IFERROR(C28/$C$56*100,"")</f>
        <v>0.72381927045215</v>
      </c>
      <c r="E28" s="4" t="n">
        <v>95659</v>
      </c>
      <c r="F28" s="5" t="n">
        <f aca="false">IFERROR(C28/E28*100,"")</f>
        <v>7.42324297766023</v>
      </c>
    </row>
    <row r="29" customFormat="false" ht="15" hidden="false" customHeight="false" outlineLevel="0" collapsed="false">
      <c r="A29" s="2" t="s">
        <v>122</v>
      </c>
      <c r="B29" s="4" t="n">
        <v>61</v>
      </c>
      <c r="C29" s="4" t="n">
        <v>18684</v>
      </c>
      <c r="D29" s="5" t="n">
        <f aca="false">IFERROR(C29/$C$56*100,"")</f>
        <v>1.90449785229235</v>
      </c>
      <c r="E29" s="4" t="n">
        <v>171805</v>
      </c>
      <c r="F29" s="5" t="n">
        <f aca="false">IFERROR(C29/E29*100,"")</f>
        <v>10.8751200488926</v>
      </c>
    </row>
    <row r="30" customFormat="false" ht="15" hidden="false" customHeight="false" outlineLevel="0" collapsed="false">
      <c r="A30" s="2" t="s">
        <v>123</v>
      </c>
      <c r="B30" s="4" t="n">
        <v>193</v>
      </c>
      <c r="C30" s="4" t="n">
        <v>37690</v>
      </c>
      <c r="D30" s="5" t="n">
        <f aca="false">IFERROR(C30/$C$56*100,"")</f>
        <v>3.84181781486291</v>
      </c>
      <c r="E30" s="4" t="n">
        <v>349230</v>
      </c>
      <c r="F30" s="5" t="n">
        <f aca="false">IFERROR(C30/E30*100,"")</f>
        <v>10.7923145205166</v>
      </c>
    </row>
    <row r="31" customFormat="false" ht="15" hidden="false" customHeight="false" outlineLevel="0" collapsed="false">
      <c r="A31" s="2" t="s">
        <v>124</v>
      </c>
      <c r="B31" s="4" t="n">
        <v>10</v>
      </c>
      <c r="C31" s="4" t="n">
        <v>1782</v>
      </c>
      <c r="D31" s="5" t="n">
        <f aca="false">IFERROR(C31/$C$56*100,"")</f>
        <v>0.181642858744646</v>
      </c>
      <c r="E31" s="4" t="n">
        <v>21139</v>
      </c>
      <c r="F31" s="5" t="n">
        <f aca="false">IFERROR(C31/E31*100,"")</f>
        <v>8.42991626850844</v>
      </c>
    </row>
    <row r="32" customFormat="false" ht="15" hidden="false" customHeight="false" outlineLevel="0" collapsed="false">
      <c r="A32" s="2" t="s">
        <v>125</v>
      </c>
      <c r="B32" s="4" t="n">
        <v>82</v>
      </c>
      <c r="C32" s="4" t="n">
        <v>11562</v>
      </c>
      <c r="D32" s="5" t="n">
        <f aca="false">IFERROR(C32/$C$56*100,"")</f>
        <v>1.17853800943075</v>
      </c>
      <c r="E32" s="4" t="n">
        <v>115858</v>
      </c>
      <c r="F32" s="5" t="n">
        <f aca="false">IFERROR(C32/E32*100,"")</f>
        <v>9.97945761190423</v>
      </c>
    </row>
    <row r="33" customFormat="false" ht="15" hidden="false" customHeight="false" outlineLevel="0" collapsed="false">
      <c r="A33" s="2" t="s">
        <v>126</v>
      </c>
      <c r="B33" s="4" t="n">
        <v>122</v>
      </c>
      <c r="C33" s="4" t="n">
        <v>22137</v>
      </c>
      <c r="D33" s="5" t="n">
        <f aca="false">IFERROR(C33/$C$56*100,"")</f>
        <v>2.25646911561741</v>
      </c>
      <c r="E33" s="4" t="n">
        <v>220137</v>
      </c>
      <c r="F33" s="5" t="n">
        <f aca="false">IFERROR(C33/E33*100,"")</f>
        <v>10.0560105752327</v>
      </c>
    </row>
    <row r="34" customFormat="false" ht="15" hidden="false" customHeight="false" outlineLevel="0" collapsed="false">
      <c r="A34" s="2" t="s">
        <v>127</v>
      </c>
      <c r="B34" s="4" t="n">
        <v>15</v>
      </c>
      <c r="C34" s="4" t="n">
        <v>2904</v>
      </c>
      <c r="D34" s="5" t="n">
        <f aca="false">IFERROR(C34/$C$56*100,"")</f>
        <v>0.296010584620905</v>
      </c>
      <c r="E34" s="4" t="n">
        <v>27680</v>
      </c>
      <c r="F34" s="5" t="n">
        <f aca="false">IFERROR(C34/E34*100,"")</f>
        <v>10.4913294797688</v>
      </c>
    </row>
    <row r="35" customFormat="false" ht="15" hidden="false" customHeight="false" outlineLevel="0" collapsed="false">
      <c r="A35" s="2" t="s">
        <v>128</v>
      </c>
      <c r="B35" s="4" t="n">
        <v>80</v>
      </c>
      <c r="C35" s="4" t="n">
        <v>13989</v>
      </c>
      <c r="D35" s="5" t="n">
        <f aca="false">IFERROR(C35/$C$56*100,"")</f>
        <v>1.42592702075132</v>
      </c>
      <c r="E35" s="4" t="n">
        <v>152871</v>
      </c>
      <c r="F35" s="5" t="n">
        <f aca="false">IFERROR(C35/E35*100,"")</f>
        <v>9.15085267971035</v>
      </c>
    </row>
    <row r="36" customFormat="false" ht="15" hidden="false" customHeight="false" outlineLevel="0" collapsed="false">
      <c r="A36" s="2" t="s">
        <v>129</v>
      </c>
      <c r="B36" s="4" t="n">
        <v>106</v>
      </c>
      <c r="C36" s="4" t="n">
        <v>16346</v>
      </c>
      <c r="D36" s="5" t="n">
        <f aca="false">IFERROR(C36/$C$56*100,"")</f>
        <v>1.66618079070706</v>
      </c>
      <c r="E36" s="4" t="n">
        <v>150919</v>
      </c>
      <c r="F36" s="5" t="n">
        <f aca="false">IFERROR(C36/E36*100,"")</f>
        <v>10.8309755564243</v>
      </c>
    </row>
    <row r="37" customFormat="false" ht="15" hidden="false" customHeight="false" outlineLevel="0" collapsed="false">
      <c r="A37" s="2" t="s">
        <v>130</v>
      </c>
      <c r="B37" s="4" t="n">
        <v>127</v>
      </c>
      <c r="C37" s="4" t="n">
        <v>18194</v>
      </c>
      <c r="D37" s="5" t="n">
        <f aca="false">IFERROR(C37/$C$56*100,"")</f>
        <v>1.85455116273855</v>
      </c>
      <c r="E37" s="4" t="n">
        <v>170036</v>
      </c>
      <c r="F37" s="5" t="n">
        <f aca="false">IFERROR(C37/E37*100,"")</f>
        <v>10.7000870403914</v>
      </c>
    </row>
    <row r="38" customFormat="false" ht="15" hidden="false" customHeight="false" outlineLevel="0" collapsed="false">
      <c r="A38" s="2" t="s">
        <v>131</v>
      </c>
      <c r="B38" s="4" t="n">
        <v>26</v>
      </c>
      <c r="C38" s="4" t="n">
        <v>2720</v>
      </c>
      <c r="D38" s="5" t="n">
        <f aca="false">IFERROR(C38/$C$56*100,"")</f>
        <v>0.277255093033354</v>
      </c>
      <c r="E38" s="4" t="n">
        <v>22322</v>
      </c>
      <c r="F38" s="5" t="n">
        <f aca="false">IFERROR(C38/E38*100,"")</f>
        <v>12.1852880566258</v>
      </c>
    </row>
    <row r="39" customFormat="false" ht="15" hidden="false" customHeight="false" outlineLevel="0" collapsed="false">
      <c r="A39" s="2" t="s">
        <v>132</v>
      </c>
      <c r="B39" s="4" t="n">
        <v>51</v>
      </c>
      <c r="C39" s="4" t="n">
        <v>5978</v>
      </c>
      <c r="D39" s="5" t="n">
        <f aca="false">IFERROR(C39/$C$56*100,"")</f>
        <v>0.609349612556394</v>
      </c>
      <c r="E39" s="4" t="n">
        <v>52985</v>
      </c>
      <c r="F39" s="5" t="n">
        <f aca="false">IFERROR(C39/E39*100,"")</f>
        <v>11.2824384259696</v>
      </c>
    </row>
    <row r="40" customFormat="false" ht="15" hidden="false" customHeight="false" outlineLevel="0" collapsed="false">
      <c r="A40" s="2" t="s">
        <v>133</v>
      </c>
      <c r="B40" s="4" t="n">
        <v>362</v>
      </c>
      <c r="C40" s="4" t="n">
        <v>52663</v>
      </c>
      <c r="D40" s="5" t="n">
        <f aca="false">IFERROR(C40/$C$56*100,"")</f>
        <v>5.36804594279983</v>
      </c>
      <c r="E40" s="4" t="n">
        <v>514395</v>
      </c>
      <c r="F40" s="5" t="n">
        <f aca="false">IFERROR(C40/E40*100,"")</f>
        <v>10.237852234178</v>
      </c>
    </row>
    <row r="41" customFormat="false" ht="15" hidden="false" customHeight="false" outlineLevel="0" collapsed="false">
      <c r="A41" s="2" t="s">
        <v>134</v>
      </c>
      <c r="B41" s="4" t="n">
        <v>58</v>
      </c>
      <c r="C41" s="4" t="n">
        <v>8420</v>
      </c>
      <c r="D41" s="5" t="n">
        <f aca="false">IFERROR(C41/$C$56*100,"")</f>
        <v>0.858267604169427</v>
      </c>
      <c r="E41" s="4" t="n">
        <v>79943</v>
      </c>
      <c r="F41" s="5" t="n">
        <f aca="false">IFERROR(C41/E41*100,"")</f>
        <v>10.5325044093917</v>
      </c>
    </row>
    <row r="42" customFormat="false" ht="15" hidden="false" customHeight="false" outlineLevel="0" collapsed="false">
      <c r="A42" s="2" t="s">
        <v>135</v>
      </c>
      <c r="B42" s="4" t="n">
        <v>142</v>
      </c>
      <c r="C42" s="4" t="n">
        <v>22040</v>
      </c>
      <c r="D42" s="5" t="n">
        <f aca="false">IFERROR(C42/$C$56*100,"")</f>
        <v>2.24658170972615</v>
      </c>
      <c r="E42" s="4" t="n">
        <v>189036</v>
      </c>
      <c r="F42" s="5" t="n">
        <f aca="false">IFERROR(C42/E42*100,"")</f>
        <v>11.6591548699719</v>
      </c>
    </row>
    <row r="43" customFormat="false" ht="15" hidden="false" customHeight="false" outlineLevel="0" collapsed="false">
      <c r="A43" s="2" t="s">
        <v>136</v>
      </c>
      <c r="B43" s="4" t="n">
        <v>172</v>
      </c>
      <c r="C43" s="4" t="n">
        <v>36547</v>
      </c>
      <c r="D43" s="5" t="n">
        <f aca="false">IFERROR(C43/$C$56*100,"")</f>
        <v>3.7253095165772</v>
      </c>
      <c r="E43" s="4" t="n">
        <v>387282</v>
      </c>
      <c r="F43" s="5" t="n">
        <f aca="false">IFERROR(C43/E43*100,"")</f>
        <v>9.43679282796515</v>
      </c>
    </row>
    <row r="44" customFormat="false" ht="15" hidden="false" customHeight="false" outlineLevel="0" collapsed="false">
      <c r="A44" s="2" t="s">
        <v>137</v>
      </c>
      <c r="B44" s="4" t="n">
        <v>63</v>
      </c>
      <c r="C44" s="4" t="n">
        <v>11650</v>
      </c>
      <c r="D44" s="5" t="n">
        <f aca="false">IFERROR(C44/$C$56*100,"")</f>
        <v>1.18750802714654</v>
      </c>
      <c r="E44" s="4" t="n">
        <v>94767</v>
      </c>
      <c r="F44" s="5" t="n">
        <f aca="false">IFERROR(C44/E44*100,"")</f>
        <v>12.2933088522376</v>
      </c>
    </row>
    <row r="45" customFormat="false" ht="15" hidden="false" customHeight="false" outlineLevel="0" collapsed="false">
      <c r="A45" s="2" t="s">
        <v>138</v>
      </c>
      <c r="B45" s="4" t="n">
        <v>149</v>
      </c>
      <c r="C45" s="4" t="n">
        <v>16961</v>
      </c>
      <c r="D45" s="5" t="n">
        <f aca="false">IFERROR(C45/$C$56*100,"")</f>
        <v>1.72886898269806</v>
      </c>
      <c r="E45" s="4" t="n">
        <v>155985</v>
      </c>
      <c r="F45" s="5" t="n">
        <f aca="false">IFERROR(C45/E45*100,"")</f>
        <v>10.8734814244959</v>
      </c>
    </row>
    <row r="46" customFormat="false" ht="15" hidden="false" customHeight="false" outlineLevel="0" collapsed="false">
      <c r="A46" s="2" t="s">
        <v>139</v>
      </c>
      <c r="B46" s="4" t="n">
        <v>49</v>
      </c>
      <c r="C46" s="4" t="n">
        <v>4269</v>
      </c>
      <c r="D46" s="5" t="n">
        <f aca="false">IFERROR(C46/$C$56*100,"")</f>
        <v>0.43514779123507</v>
      </c>
      <c r="E46" s="4" t="n">
        <v>44820</v>
      </c>
      <c r="F46" s="5" t="n">
        <f aca="false">IFERROR(C46/E46*100,"")</f>
        <v>9.52476572958501</v>
      </c>
    </row>
    <row r="47" customFormat="false" ht="15" hidden="false" customHeight="false" outlineLevel="0" collapsed="false">
      <c r="A47" s="2" t="s">
        <v>140</v>
      </c>
      <c r="B47" s="4" t="n">
        <v>143</v>
      </c>
      <c r="C47" s="4" t="n">
        <v>21327</v>
      </c>
      <c r="D47" s="5" t="n">
        <f aca="false">IFERROR(C47/$C$56*100,"")</f>
        <v>2.17390417982439</v>
      </c>
      <c r="E47" s="4" t="n">
        <v>229174</v>
      </c>
      <c r="F47" s="5" t="n">
        <f aca="false">IFERROR(C47/E47*100,"")</f>
        <v>9.30602947978392</v>
      </c>
    </row>
    <row r="48" customFormat="false" ht="15" hidden="false" customHeight="false" outlineLevel="0" collapsed="false">
      <c r="A48" s="2" t="s">
        <v>141</v>
      </c>
      <c r="B48" s="4" t="n">
        <v>28</v>
      </c>
      <c r="C48" s="4" t="n">
        <v>4378</v>
      </c>
      <c r="D48" s="5" t="n">
        <f aca="false">IFERROR(C48/$C$56*100,"")</f>
        <v>0.446258381360303</v>
      </c>
      <c r="E48" s="4" t="n">
        <v>87058</v>
      </c>
      <c r="F48" s="5" t="n">
        <f aca="false">IFERROR(C48/E48*100,"")</f>
        <v>5.0288313538101</v>
      </c>
    </row>
    <row r="49" customFormat="false" ht="15" hidden="false" customHeight="false" outlineLevel="0" collapsed="false">
      <c r="A49" s="2" t="s">
        <v>142</v>
      </c>
      <c r="B49" s="4" t="n">
        <v>46</v>
      </c>
      <c r="C49" s="4" t="n">
        <v>7304</v>
      </c>
      <c r="D49" s="5" t="n">
        <f aca="false">IFERROR(C49/$C$56*100,"")</f>
        <v>0.744511470410154</v>
      </c>
      <c r="E49" s="4" t="n">
        <v>114108</v>
      </c>
      <c r="F49" s="5" t="n">
        <f aca="false">IFERROR(C49/E49*100,"")</f>
        <v>6.40095348266554</v>
      </c>
    </row>
    <row r="50" customFormat="false" ht="15" hidden="false" customHeight="false" outlineLevel="0" collapsed="false">
      <c r="A50" s="2" t="s">
        <v>143</v>
      </c>
      <c r="B50" s="4" t="n">
        <v>33</v>
      </c>
      <c r="C50" s="4" t="n">
        <v>1472</v>
      </c>
      <c r="D50" s="5" t="n">
        <f aca="false">IFERROR(C50/$C$56*100,"")</f>
        <v>0.150043932700403</v>
      </c>
      <c r="E50" s="4" t="n">
        <v>35206</v>
      </c>
      <c r="F50" s="5" t="n">
        <f aca="false">IFERROR(C50/E50*100,"")</f>
        <v>4.18110549338181</v>
      </c>
    </row>
    <row r="51" customFormat="false" ht="15" hidden="false" customHeight="false" outlineLevel="0" collapsed="false">
      <c r="A51" s="2" t="s">
        <v>144</v>
      </c>
      <c r="B51" s="4" t="n">
        <v>12</v>
      </c>
      <c r="C51" s="4" t="n">
        <v>611</v>
      </c>
      <c r="D51" s="5" t="n">
        <f aca="false">IFERROR(C51/$C$56*100,"")</f>
        <v>0.0622804639130071</v>
      </c>
      <c r="E51" s="4" t="n">
        <v>17956</v>
      </c>
      <c r="F51" s="5" t="n">
        <f aca="false">IFERROR(C51/E51*100,"")</f>
        <v>3.40276230786367</v>
      </c>
    </row>
    <row r="52" customFormat="false" ht="15" hidden="false" customHeight="false" outlineLevel="0" collapsed="false">
      <c r="A52" s="2" t="s">
        <v>145</v>
      </c>
      <c r="B52" s="4" t="n">
        <v>7</v>
      </c>
      <c r="C52" s="4" t="n">
        <v>243</v>
      </c>
      <c r="D52" s="5" t="n">
        <f aca="false">IFERROR(C52/$C$56*100,"")</f>
        <v>0.0247694807379063</v>
      </c>
      <c r="E52" s="4" t="n">
        <v>4031</v>
      </c>
      <c r="F52" s="5" t="n">
        <f aca="false">IFERROR(C52/E52*100,"")</f>
        <v>6.02828082361697</v>
      </c>
    </row>
    <row r="53" customFormat="false" ht="15" hidden="false" customHeight="false" outlineLevel="0" collapsed="false">
      <c r="A53" s="2" t="s">
        <v>146</v>
      </c>
      <c r="B53" s="4" t="n">
        <v>53</v>
      </c>
      <c r="C53" s="4" t="n">
        <v>5149</v>
      </c>
      <c r="D53" s="5" t="n">
        <f aca="false">IFERROR(C53/$C$56*100,"")</f>
        <v>0.524847968392919</v>
      </c>
      <c r="E53" s="4" t="n">
        <v>83468</v>
      </c>
      <c r="F53" s="5" t="n">
        <f aca="false">IFERROR(C53/E53*100,"")</f>
        <v>6.16883116883117</v>
      </c>
    </row>
    <row r="54" customFormat="false" ht="15" hidden="false" customHeight="false" outlineLevel="0" collapsed="false">
      <c r="A54" s="2" t="s">
        <v>147</v>
      </c>
      <c r="B54" s="4" t="n">
        <v>1</v>
      </c>
      <c r="C54" s="4" t="n">
        <v>99</v>
      </c>
      <c r="D54" s="5" t="n">
        <f aca="false">IFERROR(C54/$C$56*100,"")</f>
        <v>0.0100912699302581</v>
      </c>
      <c r="E54" s="4" t="n">
        <v>5123</v>
      </c>
      <c r="F54" s="5" t="n">
        <f aca="false">IFERROR(C54/E54*100,"")</f>
        <v>1.9324614483701</v>
      </c>
    </row>
    <row r="55" customFormat="false" ht="15" hidden="false" customHeight="false" outlineLevel="0" collapsed="false">
      <c r="A55" s="2" t="s">
        <v>148</v>
      </c>
      <c r="B55" s="4" t="n">
        <v>13</v>
      </c>
      <c r="C55" s="4" t="n">
        <v>1040</v>
      </c>
      <c r="D55" s="5" t="n">
        <f aca="false">IFERROR(C55/$C$56*100,"")</f>
        <v>0.106009300277459</v>
      </c>
      <c r="E55" s="4" t="n">
        <v>16787</v>
      </c>
      <c r="F55" s="5" t="n">
        <f aca="false">IFERROR(C55/E55*100,"")</f>
        <v>6.19527014952046</v>
      </c>
    </row>
    <row r="56" customFormat="false" ht="15" hidden="false" customHeight="false" outlineLevel="0" collapsed="false">
      <c r="A56" s="7" t="s">
        <v>65</v>
      </c>
      <c r="B56" s="8" t="n">
        <f aca="false">SUM(B4:B55)</f>
        <v>4412</v>
      </c>
      <c r="C56" s="8" t="n">
        <f aca="false">SUM(C4:C55)</f>
        <v>981046</v>
      </c>
      <c r="D56" s="9" t="n">
        <f aca="false">SUM(D4:D55)</f>
        <v>100</v>
      </c>
      <c r="E56" s="8" t="n">
        <f aca="false">SUM(E4:E55)</f>
        <v>10292703</v>
      </c>
      <c r="F56" s="9" t="n">
        <f aca="false">IFERROR(C56/E56*100,"")</f>
        <v>9.53147098483265</v>
      </c>
    </row>
    <row r="58" customFormat="false" ht="15" hidden="false" customHeight="false" outlineLevel="0" collapsed="false">
      <c r="A58" s="1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150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  <c r="E3" s="6" t="s">
        <v>50</v>
      </c>
      <c r="F3" s="6" t="s">
        <v>55</v>
      </c>
    </row>
    <row r="4" customFormat="false" ht="15" hidden="false" customHeight="false" outlineLevel="0" collapsed="false">
      <c r="A4" s="2" t="s">
        <v>151</v>
      </c>
      <c r="B4" s="4" t="n">
        <v>131</v>
      </c>
      <c r="C4" s="4" t="n">
        <v>21184</v>
      </c>
      <c r="D4" s="5" t="n">
        <f aca="false">IFERROR(C4/$C$12*100,"")</f>
        <v>2.15933230313829</v>
      </c>
      <c r="E4" s="4" t="n">
        <v>254785</v>
      </c>
      <c r="F4" s="5" t="n">
        <f aca="false">IFERROR(C4/E4*100,"")</f>
        <v>8.31446121239477</v>
      </c>
    </row>
    <row r="5" customFormat="false" ht="15" hidden="false" customHeight="false" outlineLevel="0" collapsed="false">
      <c r="A5" s="2" t="s">
        <v>152</v>
      </c>
      <c r="B5" s="4" t="n">
        <v>690</v>
      </c>
      <c r="C5" s="4" t="n">
        <v>130680</v>
      </c>
      <c r="D5" s="5" t="n">
        <f aca="false">IFERROR(C5/$C$12*100,"")</f>
        <v>13.3205034636571</v>
      </c>
      <c r="E5" s="4" t="n">
        <v>1470155</v>
      </c>
      <c r="F5" s="5" t="n">
        <f aca="false">IFERROR(C5/E5*100,"")</f>
        <v>8.88885865776058</v>
      </c>
    </row>
    <row r="6" customFormat="false" ht="15" hidden="false" customHeight="false" outlineLevel="0" collapsed="false">
      <c r="A6" s="2" t="s">
        <v>153</v>
      </c>
      <c r="B6" s="4" t="n">
        <v>2081</v>
      </c>
      <c r="C6" s="4" t="n">
        <v>466797</v>
      </c>
      <c r="D6" s="5" t="n">
        <f aca="false">IFERROR(C6/$C$12*100,"")</f>
        <v>47.5816579072906</v>
      </c>
      <c r="E6" s="4" t="n">
        <v>4214733</v>
      </c>
      <c r="F6" s="5" t="n">
        <f aca="false">IFERROR(C6/E6*100,"")</f>
        <v>11.0753634927764</v>
      </c>
    </row>
    <row r="7" customFormat="false" ht="15" hidden="false" customHeight="false" outlineLevel="0" collapsed="false">
      <c r="A7" s="2" t="s">
        <v>154</v>
      </c>
      <c r="B7" s="4" t="n">
        <v>549</v>
      </c>
      <c r="C7" s="4" t="n">
        <v>127450</v>
      </c>
      <c r="D7" s="5" t="n">
        <f aca="false">IFERROR(C7/$C$12*100,"")</f>
        <v>12.9912623694758</v>
      </c>
      <c r="E7" s="4" t="n">
        <v>1423225</v>
      </c>
      <c r="F7" s="5" t="n">
        <f aca="false">IFERROR(C7/E7*100,"")</f>
        <v>8.95501414042052</v>
      </c>
    </row>
    <row r="8" customFormat="false" ht="15" hidden="false" customHeight="false" outlineLevel="0" collapsed="false">
      <c r="A8" s="2" t="s">
        <v>155</v>
      </c>
      <c r="B8" s="4" t="n">
        <v>921</v>
      </c>
      <c r="C8" s="4" t="n">
        <v>220323</v>
      </c>
      <c r="D8" s="5" t="n">
        <f aca="false">IFERROR(C8/$C$12*100,"")</f>
        <v>22.4580141155748</v>
      </c>
      <c r="E8" s="4" t="n">
        <v>2625074</v>
      </c>
      <c r="F8" s="5" t="n">
        <f aca="false">IFERROR(C8/E8*100,"")</f>
        <v>8.39302053961146</v>
      </c>
    </row>
    <row r="9" customFormat="false" ht="15" hidden="false" customHeight="false" outlineLevel="0" collapsed="false">
      <c r="A9" s="2" t="s">
        <v>156</v>
      </c>
      <c r="B9" s="4" t="n">
        <v>29</v>
      </c>
      <c r="C9" s="4" t="n">
        <v>10491</v>
      </c>
      <c r="D9" s="5" t="n">
        <f aca="false">IFERROR(C9/$C$12*100,"")</f>
        <v>1.06937099661177</v>
      </c>
      <c r="E9" s="4" t="n">
        <v>254452</v>
      </c>
      <c r="F9" s="5" t="n">
        <f aca="false">IFERROR(C9/E9*100,"")</f>
        <v>4.12297800763995</v>
      </c>
    </row>
    <row r="10" customFormat="false" ht="15" hidden="false" customHeight="false" outlineLevel="0" collapsed="false">
      <c r="A10" s="2" t="s">
        <v>157</v>
      </c>
      <c r="B10" s="4" t="n">
        <v>3</v>
      </c>
      <c r="C10" s="4" t="n">
        <v>2352</v>
      </c>
      <c r="D10" s="5" t="n">
        <f aca="false">IFERROR(C10/$C$12*100,"")</f>
        <v>0.239744598611275</v>
      </c>
      <c r="E10" s="4" t="n">
        <v>34102</v>
      </c>
      <c r="F10" s="5" t="n">
        <f aca="false">IFERROR(C10/E10*100,"")</f>
        <v>6.89695619025277</v>
      </c>
    </row>
    <row r="11" customFormat="false" ht="15" hidden="false" customHeight="false" outlineLevel="0" collapsed="false">
      <c r="A11" s="2" t="s">
        <v>158</v>
      </c>
      <c r="B11" s="4" t="n">
        <v>8</v>
      </c>
      <c r="C11" s="4" t="n">
        <v>1767</v>
      </c>
      <c r="D11" s="5" t="n">
        <f aca="false">IFERROR(C11/$C$12*100,"")</f>
        <v>0.180114245640359</v>
      </c>
      <c r="E11" s="4" t="n">
        <v>18534</v>
      </c>
      <c r="F11" s="5" t="n">
        <f aca="false">IFERROR(C11/E11*100,"")</f>
        <v>9.53382971835545</v>
      </c>
    </row>
    <row r="12" customFormat="false" ht="15" hidden="false" customHeight="false" outlineLevel="0" collapsed="false">
      <c r="A12" s="7" t="s">
        <v>65</v>
      </c>
      <c r="B12" s="8" t="n">
        <f aca="false">SUM(B4:B11)</f>
        <v>4412</v>
      </c>
      <c r="C12" s="8" t="n">
        <f aca="false">SUM(C4:C11)</f>
        <v>981044</v>
      </c>
      <c r="D12" s="9" t="n">
        <f aca="false">SUM(D4:D11)</f>
        <v>100</v>
      </c>
      <c r="E12" s="8" t="n">
        <f aca="false">SUM(E4:E11)</f>
        <v>10295060</v>
      </c>
      <c r="F12" s="9" t="n">
        <f aca="false">IFERROR(C12/E12*100,"")</f>
        <v>9.52926937774039</v>
      </c>
    </row>
    <row r="14" customFormat="false" ht="15" hidden="false" customHeight="false" outlineLevel="0" collapsed="false">
      <c r="A14" s="1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160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  <c r="E3" s="6" t="s">
        <v>50</v>
      </c>
      <c r="F3" s="6" t="s">
        <v>55</v>
      </c>
    </row>
    <row r="4" customFormat="false" ht="15" hidden="false" customHeight="false" outlineLevel="0" collapsed="false">
      <c r="A4" s="2" t="s">
        <v>161</v>
      </c>
      <c r="B4" s="4" t="n">
        <v>4211</v>
      </c>
      <c r="C4" s="4" t="n">
        <v>910039</v>
      </c>
      <c r="D4" s="5" t="n">
        <f aca="false">IFERROR(C4/$C$6*100,"")</f>
        <v>92.7623022005129</v>
      </c>
      <c r="E4" s="4" t="n">
        <v>9197979</v>
      </c>
      <c r="F4" s="5" t="n">
        <f aca="false">IFERROR(C4/E4*100,"")</f>
        <v>9.89390169296973</v>
      </c>
    </row>
    <row r="5" customFormat="false" ht="15" hidden="false" customHeight="false" outlineLevel="0" collapsed="false">
      <c r="A5" s="2" t="s">
        <v>162</v>
      </c>
      <c r="B5" s="4" t="n">
        <v>201</v>
      </c>
      <c r="C5" s="4" t="n">
        <v>71005</v>
      </c>
      <c r="D5" s="5" t="n">
        <f aca="false">IFERROR(C5/$C$6*100,"")</f>
        <v>7.23769779948708</v>
      </c>
      <c r="E5" s="4" t="n">
        <v>1097082</v>
      </c>
      <c r="F5" s="5" t="n">
        <f aca="false">IFERROR(C5/E5*100,"")</f>
        <v>6.47216889895195</v>
      </c>
    </row>
    <row r="6" customFormat="false" ht="15" hidden="false" customHeight="false" outlineLevel="0" collapsed="false">
      <c r="A6" s="7" t="s">
        <v>65</v>
      </c>
      <c r="B6" s="8" t="n">
        <f aca="false">SUM(B4:B5)</f>
        <v>4412</v>
      </c>
      <c r="C6" s="8" t="n">
        <f aca="false">SUM(C4:C5)</f>
        <v>981044</v>
      </c>
      <c r="D6" s="9" t="n">
        <f aca="false">SUM(D4:D5)</f>
        <v>100</v>
      </c>
      <c r="E6" s="8" t="n">
        <f aca="false">SUM(E4:E5)</f>
        <v>10295061</v>
      </c>
      <c r="F6" s="9" t="n">
        <f aca="false">IFERROR(C6/E6*100,"")</f>
        <v>9.52926845212476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163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  <c r="E3" s="6" t="s">
        <v>50</v>
      </c>
      <c r="F3" s="6" t="s">
        <v>55</v>
      </c>
    </row>
    <row r="4" customFormat="false" ht="15" hidden="false" customHeight="false" outlineLevel="0" collapsed="false">
      <c r="A4" s="2" t="s">
        <v>164</v>
      </c>
      <c r="B4" s="4" t="n">
        <v>667</v>
      </c>
      <c r="C4" s="4" t="n">
        <v>124991</v>
      </c>
      <c r="D4" s="5" t="n">
        <f aca="false">IFERROR(C4/$C$7*100,"")</f>
        <v>12.7406110225433</v>
      </c>
      <c r="E4" s="4" t="n">
        <v>1164249</v>
      </c>
      <c r="F4" s="5" t="n">
        <f aca="false">IFERROR(C4/E4*100,"")</f>
        <v>10.7357618516314</v>
      </c>
    </row>
    <row r="5" customFormat="false" ht="15" hidden="false" customHeight="false" outlineLevel="0" collapsed="false">
      <c r="A5" s="2" t="s">
        <v>165</v>
      </c>
      <c r="B5" s="4" t="n">
        <v>3736</v>
      </c>
      <c r="C5" s="4" t="n">
        <v>854090</v>
      </c>
      <c r="D5" s="5" t="n">
        <f aca="false">IFERROR(C5/$C$7*100,"")</f>
        <v>87.0592960152654</v>
      </c>
      <c r="E5" s="4" t="n">
        <v>9111186</v>
      </c>
      <c r="F5" s="5" t="n">
        <f aca="false">IFERROR(C5/E5*100,"")</f>
        <v>9.37408148620827</v>
      </c>
    </row>
    <row r="6" customFormat="false" ht="15" hidden="false" customHeight="false" outlineLevel="0" collapsed="false">
      <c r="A6" s="2" t="s">
        <v>166</v>
      </c>
      <c r="B6" s="4" t="n">
        <v>9</v>
      </c>
      <c r="C6" s="4" t="n">
        <v>1963</v>
      </c>
      <c r="D6" s="5" t="n">
        <f aca="false">IFERROR(C6/$C$7*100,"")</f>
        <v>0.200092962191298</v>
      </c>
      <c r="E6" s="4" t="n">
        <v>19626</v>
      </c>
      <c r="F6" s="5" t="n">
        <f aca="false">IFERROR(C6/E6*100,"")</f>
        <v>10.0020381127076</v>
      </c>
    </row>
    <row r="7" customFormat="false" ht="15" hidden="false" customHeight="false" outlineLevel="0" collapsed="false">
      <c r="A7" s="7" t="s">
        <v>65</v>
      </c>
      <c r="B7" s="8" t="n">
        <f aca="false">SUM(B4:B6)</f>
        <v>4412</v>
      </c>
      <c r="C7" s="8" t="n">
        <f aca="false">SUM(C4:C6)</f>
        <v>981044</v>
      </c>
      <c r="D7" s="9" t="n">
        <f aca="false">SUM(D4:D6)</f>
        <v>100</v>
      </c>
      <c r="E7" s="8" t="n">
        <f aca="false">SUM(E4:E6)</f>
        <v>10295061</v>
      </c>
      <c r="F7" s="9" t="n">
        <f aca="false">IFERROR(C7/E7*100,"")</f>
        <v>9.52926845212476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167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  <c r="E3" s="6" t="s">
        <v>50</v>
      </c>
      <c r="F3" s="6" t="s">
        <v>55</v>
      </c>
    </row>
    <row r="4" customFormat="false" ht="15" hidden="false" customHeight="false" outlineLevel="0" collapsed="false">
      <c r="A4" s="2" t="s">
        <v>168</v>
      </c>
      <c r="B4" s="4" t="n">
        <v>1343</v>
      </c>
      <c r="C4" s="4" t="n">
        <v>301672</v>
      </c>
      <c r="D4" s="5" t="n">
        <f aca="false">IFERROR(C4/$C$6*100,"")</f>
        <v>30.7500988742605</v>
      </c>
      <c r="E4" s="4" t="n">
        <v>5537482</v>
      </c>
      <c r="F4" s="5" t="n">
        <f aca="false">IFERROR(C4/E4*100,"")</f>
        <v>5.44781906288815</v>
      </c>
    </row>
    <row r="5" customFormat="false" ht="15" hidden="false" customHeight="false" outlineLevel="0" collapsed="false">
      <c r="A5" s="2" t="s">
        <v>169</v>
      </c>
      <c r="B5" s="4" t="n">
        <v>3069</v>
      </c>
      <c r="C5" s="4" t="n">
        <v>679372</v>
      </c>
      <c r="D5" s="5" t="n">
        <f aca="false">IFERROR(C5/$C$6*100,"")</f>
        <v>69.2499011257395</v>
      </c>
      <c r="E5" s="4" t="n">
        <v>4757579</v>
      </c>
      <c r="F5" s="5" t="n">
        <f aca="false">IFERROR(C5/E5*100,"")</f>
        <v>14.2797838984912</v>
      </c>
    </row>
    <row r="6" customFormat="false" ht="15" hidden="false" customHeight="false" outlineLevel="0" collapsed="false">
      <c r="A6" s="7" t="s">
        <v>65</v>
      </c>
      <c r="B6" s="8" t="n">
        <f aca="false">SUM(B4:B5)</f>
        <v>4412</v>
      </c>
      <c r="C6" s="8" t="n">
        <f aca="false">SUM(C4:C5)</f>
        <v>981044</v>
      </c>
      <c r="D6" s="9" t="n">
        <f aca="false">SUM(D4:D5)</f>
        <v>100</v>
      </c>
      <c r="E6" s="8" t="n">
        <f aca="false">SUM(E4:E5)</f>
        <v>10295061</v>
      </c>
      <c r="F6" s="9" t="n">
        <f aca="false">IFERROR(C6/E6*100,"")</f>
        <v>9.52926845212476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170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</row>
    <row r="4" customFormat="false" ht="15" hidden="false" customHeight="false" outlineLevel="0" collapsed="false">
      <c r="A4" s="2" t="s">
        <v>171</v>
      </c>
      <c r="B4" s="4" t="n">
        <v>3984</v>
      </c>
      <c r="C4" s="4" t="n">
        <v>893873</v>
      </c>
      <c r="D4" s="5" t="n">
        <f aca="false">IFERROR(C4/$C$6*100,"")</f>
        <v>91.1144658139696</v>
      </c>
    </row>
    <row r="5" customFormat="false" ht="15" hidden="false" customHeight="false" outlineLevel="0" collapsed="false">
      <c r="A5" s="2" t="s">
        <v>172</v>
      </c>
      <c r="B5" s="4" t="n">
        <v>428</v>
      </c>
      <c r="C5" s="4" t="n">
        <v>87171</v>
      </c>
      <c r="D5" s="5" t="n">
        <f aca="false">IFERROR(C5/$C$6*100,"")</f>
        <v>8.88553418603039</v>
      </c>
    </row>
    <row r="6" customFormat="false" ht="15" hidden="false" customHeight="false" outlineLevel="0" collapsed="false">
      <c r="A6" s="7" t="s">
        <v>65</v>
      </c>
      <c r="B6" s="8" t="n">
        <f aca="false">SUM(B4:B5)</f>
        <v>4412</v>
      </c>
      <c r="C6" s="8" t="n">
        <f aca="false">SUM(C4:C5)</f>
        <v>981044</v>
      </c>
      <c r="D6" s="9" t="n">
        <f aca="false">SUM(D4:D5)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173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</row>
    <row r="4" customFormat="false" ht="15" hidden="false" customHeight="false" outlineLevel="0" collapsed="false">
      <c r="A4" s="2" t="s">
        <v>174</v>
      </c>
      <c r="B4" s="4" t="n">
        <v>1784</v>
      </c>
      <c r="C4" s="4" t="n">
        <v>391840</v>
      </c>
      <c r="D4" s="5" t="n">
        <f aca="false">IFERROR(C4/$C$10*100,"")</f>
        <v>39.9411239455111</v>
      </c>
    </row>
    <row r="5" customFormat="false" ht="15" hidden="false" customHeight="false" outlineLevel="0" collapsed="false">
      <c r="A5" s="2" t="s">
        <v>175</v>
      </c>
      <c r="B5" s="4" t="n">
        <v>1149</v>
      </c>
      <c r="C5" s="4" t="n">
        <v>260023</v>
      </c>
      <c r="D5" s="5" t="n">
        <f aca="false">IFERROR(C5/$C$10*100,"")</f>
        <v>26.5047235394131</v>
      </c>
    </row>
    <row r="6" customFormat="false" ht="15" hidden="false" customHeight="false" outlineLevel="0" collapsed="false">
      <c r="A6" s="2" t="s">
        <v>176</v>
      </c>
      <c r="B6" s="4" t="n">
        <v>519</v>
      </c>
      <c r="C6" s="4" t="n">
        <v>125105</v>
      </c>
      <c r="D6" s="5" t="n">
        <f aca="false">IFERROR(C6/$C$10*100,"")</f>
        <v>12.7522312964556</v>
      </c>
    </row>
    <row r="7" customFormat="false" ht="15" hidden="false" customHeight="false" outlineLevel="0" collapsed="false">
      <c r="A7" s="2" t="s">
        <v>177</v>
      </c>
      <c r="B7" s="4" t="n">
        <v>440</v>
      </c>
      <c r="C7" s="4" t="n">
        <v>95087</v>
      </c>
      <c r="D7" s="5" t="n">
        <f aca="false">IFERROR(C7/$C$10*100,"")</f>
        <v>9.69242969734283</v>
      </c>
    </row>
    <row r="8" customFormat="false" ht="15" hidden="false" customHeight="false" outlineLevel="0" collapsed="false">
      <c r="A8" s="2" t="s">
        <v>178</v>
      </c>
      <c r="B8" s="4" t="n">
        <v>262</v>
      </c>
      <c r="C8" s="4" t="n">
        <v>53611</v>
      </c>
      <c r="D8" s="5" t="n">
        <f aca="false">IFERROR(C8/$C$10*100,"")</f>
        <v>5.46468863781849</v>
      </c>
    </row>
    <row r="9" customFormat="false" ht="15" hidden="false" customHeight="false" outlineLevel="0" collapsed="false">
      <c r="A9" s="2" t="s">
        <v>166</v>
      </c>
      <c r="B9" s="4" t="n">
        <v>258</v>
      </c>
      <c r="C9" s="4" t="n">
        <v>55378</v>
      </c>
      <c r="D9" s="5" t="n">
        <f aca="false">IFERROR(C9/$C$10*100,"")</f>
        <v>5.64480288345885</v>
      </c>
    </row>
    <row r="10" customFormat="false" ht="15" hidden="false" customHeight="false" outlineLevel="0" collapsed="false">
      <c r="A10" s="7" t="s">
        <v>65</v>
      </c>
      <c r="B10" s="8" t="n">
        <f aca="false">SUM(B4:B9)</f>
        <v>4412</v>
      </c>
      <c r="C10" s="8" t="n">
        <f aca="false">SUM(C4:C9)</f>
        <v>981044</v>
      </c>
      <c r="D10" s="9" t="n">
        <f aca="false">SUM(D4:D9)</f>
        <v>100</v>
      </c>
    </row>
    <row r="12" customFormat="false" ht="15" hidden="false" customHeight="false" outlineLevel="0" collapsed="false">
      <c r="A12" s="1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180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</row>
    <row r="4" customFormat="false" ht="15" hidden="false" customHeight="false" outlineLevel="0" collapsed="false">
      <c r="A4" s="2" t="s">
        <v>174</v>
      </c>
      <c r="B4" s="4" t="n">
        <v>1239</v>
      </c>
      <c r="C4" s="4" t="n">
        <v>282695</v>
      </c>
      <c r="D4" s="5" t="n">
        <f aca="false">IFERROR(C4/$C$10*100,"")</f>
        <v>31.62589274527</v>
      </c>
    </row>
    <row r="5" customFormat="false" ht="15" hidden="false" customHeight="false" outlineLevel="0" collapsed="false">
      <c r="A5" s="2" t="s">
        <v>175</v>
      </c>
      <c r="B5" s="4" t="n">
        <v>965</v>
      </c>
      <c r="C5" s="4" t="n">
        <v>216249</v>
      </c>
      <c r="D5" s="5" t="n">
        <f aca="false">IFERROR(C5/$C$10*100,"")</f>
        <v>24.1923899618737</v>
      </c>
    </row>
    <row r="6" customFormat="false" ht="15" hidden="false" customHeight="false" outlineLevel="0" collapsed="false">
      <c r="A6" s="2" t="s">
        <v>176</v>
      </c>
      <c r="B6" s="4" t="n">
        <v>588</v>
      </c>
      <c r="C6" s="4" t="n">
        <v>133397</v>
      </c>
      <c r="D6" s="5" t="n">
        <f aca="false">IFERROR(C6/$C$10*100,"")</f>
        <v>14.9235013514239</v>
      </c>
    </row>
    <row r="7" customFormat="false" ht="15" hidden="false" customHeight="false" outlineLevel="0" collapsed="false">
      <c r="A7" s="2" t="s">
        <v>177</v>
      </c>
      <c r="B7" s="4" t="n">
        <v>449</v>
      </c>
      <c r="C7" s="4" t="n">
        <v>103250</v>
      </c>
      <c r="D7" s="5" t="n">
        <f aca="false">IFERROR(C7/$C$10*100,"")</f>
        <v>11.5508708181932</v>
      </c>
    </row>
    <row r="8" customFormat="false" ht="15" hidden="false" customHeight="false" outlineLevel="0" collapsed="false">
      <c r="A8" s="2" t="s">
        <v>178</v>
      </c>
      <c r="B8" s="4" t="n">
        <v>285</v>
      </c>
      <c r="C8" s="4" t="n">
        <v>58867</v>
      </c>
      <c r="D8" s="5" t="n">
        <f aca="false">IFERROR(C8/$C$10*100,"")</f>
        <v>6.58561852256251</v>
      </c>
    </row>
    <row r="9" customFormat="false" ht="15" hidden="false" customHeight="false" outlineLevel="0" collapsed="false">
      <c r="A9" s="2" t="s">
        <v>166</v>
      </c>
      <c r="B9" s="4" t="n">
        <v>458</v>
      </c>
      <c r="C9" s="4" t="n">
        <v>99414</v>
      </c>
      <c r="D9" s="5" t="n">
        <f aca="false">IFERROR(C9/$C$10*100,"")</f>
        <v>11.1217266006766</v>
      </c>
    </row>
    <row r="10" customFormat="false" ht="15" hidden="false" customHeight="false" outlineLevel="0" collapsed="false">
      <c r="A10" s="7" t="s">
        <v>65</v>
      </c>
      <c r="B10" s="8" t="n">
        <f aca="false">SUM(B4:B9)</f>
        <v>3984</v>
      </c>
      <c r="C10" s="8" t="n">
        <f aca="false">SUM(C4:C9)</f>
        <v>893872</v>
      </c>
      <c r="D10" s="9" t="n">
        <f aca="false">SUM(D4:D9)</f>
        <v>100</v>
      </c>
    </row>
    <row r="12" customFormat="false" ht="15" hidden="false" customHeight="false" outlineLevel="0" collapsed="false">
      <c r="A12" s="10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182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</row>
    <row r="4" customFormat="false" ht="15" hidden="false" customHeight="false" outlineLevel="0" collapsed="false">
      <c r="A4" s="2" t="s">
        <v>183</v>
      </c>
      <c r="B4" s="4" t="n">
        <v>671</v>
      </c>
      <c r="C4" s="4" t="n">
        <v>167717</v>
      </c>
      <c r="D4" s="5" t="n">
        <f aca="false">IFERROR(C4/$C$15*100,"")</f>
        <v>18.7629772495391</v>
      </c>
    </row>
    <row r="5" customFormat="false" ht="15" hidden="false" customHeight="false" outlineLevel="0" collapsed="false">
      <c r="A5" s="2" t="s">
        <v>184</v>
      </c>
      <c r="B5" s="4" t="n">
        <v>561</v>
      </c>
      <c r="C5" s="4" t="n">
        <v>134450</v>
      </c>
      <c r="D5" s="5" t="n">
        <f aca="false">IFERROR(C5/$C$15*100,"")</f>
        <v>15.0413034528434</v>
      </c>
    </row>
    <row r="6" customFormat="false" ht="15" hidden="false" customHeight="false" outlineLevel="0" collapsed="false">
      <c r="A6" s="2" t="s">
        <v>185</v>
      </c>
      <c r="B6" s="4" t="n">
        <v>2439</v>
      </c>
      <c r="C6" s="4" t="n">
        <v>523025</v>
      </c>
      <c r="D6" s="5" t="n">
        <f aca="false">IFERROR(C6/$C$15*100,"")</f>
        <v>58.5122925877531</v>
      </c>
    </row>
    <row r="7" customFormat="false" ht="15" hidden="false" customHeight="false" outlineLevel="0" collapsed="false">
      <c r="A7" s="2" t="s">
        <v>186</v>
      </c>
      <c r="B7" s="4" t="n">
        <v>35</v>
      </c>
      <c r="C7" s="4" t="n">
        <v>7324</v>
      </c>
      <c r="D7" s="5" t="n">
        <f aca="false">IFERROR(C7/$C$15*100,"")</f>
        <v>0.819356686415952</v>
      </c>
    </row>
    <row r="8" customFormat="false" ht="15" hidden="false" customHeight="false" outlineLevel="0" collapsed="false">
      <c r="A8" s="2" t="s">
        <v>187</v>
      </c>
      <c r="B8" s="4" t="n">
        <v>181</v>
      </c>
      <c r="C8" s="4" t="n">
        <v>40692</v>
      </c>
      <c r="D8" s="5" t="n">
        <f aca="false">IFERROR(C8/$C$15*100,"")</f>
        <v>4.55232964003795</v>
      </c>
    </row>
    <row r="9" customFormat="false" ht="15" hidden="false" customHeight="false" outlineLevel="0" collapsed="false">
      <c r="A9" s="2" t="s">
        <v>188</v>
      </c>
      <c r="B9" s="4" t="n">
        <v>62</v>
      </c>
      <c r="C9" s="4" t="n">
        <v>13823</v>
      </c>
      <c r="D9" s="5" t="n">
        <f aca="false">IFERROR(C9/$C$15*100,"")</f>
        <v>1.54641827912721</v>
      </c>
    </row>
    <row r="10" customFormat="false" ht="15" hidden="false" customHeight="false" outlineLevel="0" collapsed="false">
      <c r="A10" s="2" t="s">
        <v>189</v>
      </c>
      <c r="B10" s="4" t="n">
        <v>9</v>
      </c>
      <c r="C10" s="4" t="n">
        <v>1751</v>
      </c>
      <c r="D10" s="5" t="n">
        <f aca="false">IFERROR(C10/$C$15*100,"")</f>
        <v>0.195889344335654</v>
      </c>
    </row>
    <row r="11" customFormat="false" ht="15" hidden="false" customHeight="false" outlineLevel="0" collapsed="false">
      <c r="A11" s="2" t="s">
        <v>190</v>
      </c>
      <c r="B11" s="4" t="n">
        <v>13</v>
      </c>
      <c r="C11" s="4" t="n">
        <v>2118</v>
      </c>
      <c r="D11" s="5" t="n">
        <f aca="false">IFERROR(C11/$C$15*100,"")</f>
        <v>0.236946676929135</v>
      </c>
    </row>
    <row r="12" customFormat="false" ht="15" hidden="false" customHeight="false" outlineLevel="0" collapsed="false">
      <c r="A12" s="2" t="s">
        <v>191</v>
      </c>
      <c r="B12" s="4" t="n">
        <v>1</v>
      </c>
      <c r="C12" s="4" t="n">
        <v>168</v>
      </c>
      <c r="D12" s="5" t="n">
        <f aca="false">IFERROR(C12/$C$15*100,"")</f>
        <v>0.0187946372635008</v>
      </c>
    </row>
    <row r="13" customFormat="false" ht="15" hidden="false" customHeight="false" outlineLevel="0" collapsed="false">
      <c r="A13" s="2" t="s">
        <v>192</v>
      </c>
      <c r="B13" s="4" t="n">
        <v>8</v>
      </c>
      <c r="C13" s="4" t="n">
        <v>2157</v>
      </c>
      <c r="D13" s="5" t="n">
        <f aca="false">IFERROR(C13/$C$15*100,"")</f>
        <v>0.241309717722448</v>
      </c>
    </row>
    <row r="14" customFormat="false" ht="15" hidden="false" customHeight="false" outlineLevel="0" collapsed="false">
      <c r="A14" s="2" t="s">
        <v>193</v>
      </c>
      <c r="B14" s="4" t="n">
        <v>4</v>
      </c>
      <c r="C14" s="4" t="n">
        <v>647</v>
      </c>
      <c r="D14" s="5" t="n">
        <f aca="false">IFERROR(C14/$C$15*100,"")</f>
        <v>0.072381728032649</v>
      </c>
    </row>
    <row r="15" customFormat="false" ht="15" hidden="false" customHeight="false" outlineLevel="0" collapsed="false">
      <c r="A15" s="7" t="s">
        <v>65</v>
      </c>
      <c r="B15" s="8" t="n">
        <f aca="false">SUM(B4:B14)</f>
        <v>3984</v>
      </c>
      <c r="C15" s="8" t="n">
        <f aca="false">SUM(C4:C14)</f>
        <v>893872</v>
      </c>
      <c r="D15" s="9" t="n">
        <f aca="false">SUM(D4:D14)</f>
        <v>100</v>
      </c>
    </row>
    <row r="17" customFormat="false" ht="15" hidden="false" customHeight="false" outlineLevel="0" collapsed="false">
      <c r="A17" s="10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195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</row>
    <row r="4" customFormat="false" ht="15" hidden="false" customHeight="false" outlineLevel="0" collapsed="false">
      <c r="A4" s="2" t="s">
        <v>196</v>
      </c>
      <c r="B4" s="4" t="n">
        <v>2</v>
      </c>
      <c r="C4" s="4" t="n">
        <v>246</v>
      </c>
      <c r="D4" s="5" t="n">
        <f aca="false">IFERROR(C4/$C$16*100,"")</f>
        <v>0.146675650053364</v>
      </c>
    </row>
    <row r="5" customFormat="false" ht="15" hidden="false" customHeight="false" outlineLevel="0" collapsed="false">
      <c r="A5" s="2" t="s">
        <v>197</v>
      </c>
      <c r="B5" s="4" t="n">
        <v>18</v>
      </c>
      <c r="C5" s="4" t="n">
        <v>6305</v>
      </c>
      <c r="D5" s="5" t="n">
        <f aca="false">IFERROR(C5/$C$16*100,"")</f>
        <v>3.75930883571731</v>
      </c>
    </row>
    <row r="6" customFormat="false" ht="15" hidden="false" customHeight="false" outlineLevel="0" collapsed="false">
      <c r="A6" s="2" t="s">
        <v>198</v>
      </c>
      <c r="B6" s="4" t="n">
        <v>5</v>
      </c>
      <c r="C6" s="4" t="n">
        <v>689</v>
      </c>
      <c r="D6" s="5" t="n">
        <f aca="false">IFERROR(C6/$C$16*100,"")</f>
        <v>0.410811068645397</v>
      </c>
    </row>
    <row r="7" customFormat="false" ht="15" hidden="false" customHeight="false" outlineLevel="0" collapsed="false">
      <c r="A7" s="2" t="s">
        <v>199</v>
      </c>
      <c r="B7" s="4" t="n">
        <v>72</v>
      </c>
      <c r="C7" s="4" t="n">
        <v>13472</v>
      </c>
      <c r="D7" s="5" t="n">
        <f aca="false">IFERROR(C7/$C$16*100,"")</f>
        <v>8.03257868910128</v>
      </c>
    </row>
    <row r="8" customFormat="false" ht="15" hidden="false" customHeight="false" outlineLevel="0" collapsed="false">
      <c r="A8" s="2" t="s">
        <v>200</v>
      </c>
      <c r="B8" s="4" t="n">
        <v>6</v>
      </c>
      <c r="C8" s="4" t="n">
        <v>1114</v>
      </c>
      <c r="D8" s="5" t="n">
        <f aca="false">IFERROR(C8/$C$16*100,"")</f>
        <v>0.664214122599379</v>
      </c>
    </row>
    <row r="9" customFormat="false" ht="15" hidden="false" customHeight="false" outlineLevel="0" collapsed="false">
      <c r="A9" s="2" t="s">
        <v>201</v>
      </c>
      <c r="B9" s="4" t="n">
        <v>18</v>
      </c>
      <c r="C9" s="4" t="n">
        <v>5279</v>
      </c>
      <c r="D9" s="5" t="n">
        <f aca="false">IFERROR(C9/$C$16*100,"")</f>
        <v>3.1475640513484</v>
      </c>
    </row>
    <row r="10" customFormat="false" ht="15" hidden="false" customHeight="false" outlineLevel="0" collapsed="false">
      <c r="A10" s="2" t="s">
        <v>202</v>
      </c>
      <c r="B10" s="4" t="n">
        <v>4</v>
      </c>
      <c r="C10" s="4" t="n">
        <v>1067</v>
      </c>
      <c r="D10" s="5" t="n">
        <f aca="false">IFERROR(C10/$C$16*100,"")</f>
        <v>0.636190726044468</v>
      </c>
    </row>
    <row r="11" customFormat="false" ht="15" hidden="false" customHeight="false" outlineLevel="0" collapsed="false">
      <c r="A11" s="2" t="s">
        <v>203</v>
      </c>
      <c r="B11" s="4" t="n">
        <v>473</v>
      </c>
      <c r="C11" s="4" t="n">
        <v>123893</v>
      </c>
      <c r="D11" s="5" t="n">
        <f aca="false">IFERROR(C11/$C$16*100,"")</f>
        <v>73.8702695612252</v>
      </c>
    </row>
    <row r="12" customFormat="false" ht="15" hidden="false" customHeight="false" outlineLevel="0" collapsed="false">
      <c r="A12" s="2" t="s">
        <v>204</v>
      </c>
      <c r="B12" s="4" t="n">
        <v>8</v>
      </c>
      <c r="C12" s="4" t="n">
        <v>2491</v>
      </c>
      <c r="D12" s="5" t="n">
        <f aca="false">IFERROR(C12/$C$16*100,"")</f>
        <v>1.48524001741028</v>
      </c>
    </row>
    <row r="13" customFormat="false" ht="15" hidden="false" customHeight="false" outlineLevel="0" collapsed="false">
      <c r="A13" s="2" t="s">
        <v>205</v>
      </c>
      <c r="B13" s="4" t="n">
        <v>59</v>
      </c>
      <c r="C13" s="4" t="n">
        <v>10802</v>
      </c>
      <c r="D13" s="5" t="n">
        <f aca="false">IFERROR(C13/$C$16*100,"")</f>
        <v>6.44061126779038</v>
      </c>
    </row>
    <row r="14" customFormat="false" ht="15" hidden="false" customHeight="false" outlineLevel="0" collapsed="false">
      <c r="A14" s="2" t="s">
        <v>192</v>
      </c>
      <c r="B14" s="4" t="n">
        <v>3</v>
      </c>
      <c r="C14" s="4" t="n">
        <v>1678</v>
      </c>
      <c r="D14" s="5" t="n">
        <f aca="false">IFERROR(C14/$C$16*100,"")</f>
        <v>1.00049488125831</v>
      </c>
    </row>
    <row r="15" customFormat="false" ht="15" hidden="false" customHeight="false" outlineLevel="0" collapsed="false">
      <c r="A15" s="2" t="s">
        <v>193</v>
      </c>
      <c r="B15" s="4" t="n">
        <v>3</v>
      </c>
      <c r="C15" s="4" t="n">
        <v>681</v>
      </c>
      <c r="D15" s="5" t="n">
        <f aca="false">IFERROR(C15/$C$16*100,"")</f>
        <v>0.406041128806263</v>
      </c>
    </row>
    <row r="16" customFormat="false" ht="15" hidden="false" customHeight="false" outlineLevel="0" collapsed="false">
      <c r="A16" s="7" t="s">
        <v>65</v>
      </c>
      <c r="B16" s="8" t="n">
        <f aca="false">SUM(B4:B15)</f>
        <v>671</v>
      </c>
      <c r="C16" s="8" t="n">
        <f aca="false">SUM(C4:C15)</f>
        <v>167717</v>
      </c>
      <c r="D16" s="9" t="n">
        <f aca="false">SUM(D4:D15)</f>
        <v>100</v>
      </c>
    </row>
    <row r="18" customFormat="false" ht="15" hidden="false" customHeight="false" outlineLevel="0" collapsed="false">
      <c r="A18" s="1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207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</row>
    <row r="4" customFormat="false" ht="15" hidden="false" customHeight="false" outlineLevel="0" collapsed="false">
      <c r="A4" s="2" t="s">
        <v>208</v>
      </c>
      <c r="B4" s="4" t="n">
        <v>65</v>
      </c>
      <c r="C4" s="4" t="n">
        <v>12497</v>
      </c>
      <c r="D4" s="5" t="n">
        <f aca="false">IFERROR(C4/$C$16*100,"")</f>
        <v>9.29490516920789</v>
      </c>
    </row>
    <row r="5" customFormat="false" ht="15" hidden="false" customHeight="false" outlineLevel="0" collapsed="false">
      <c r="A5" s="2" t="s">
        <v>209</v>
      </c>
      <c r="B5" s="4" t="n">
        <v>106</v>
      </c>
      <c r="C5" s="4" t="n">
        <v>24326</v>
      </c>
      <c r="D5" s="5" t="n">
        <f aca="false">IFERROR(C5/$C$16*100,"")</f>
        <v>18.0929713648196</v>
      </c>
    </row>
    <row r="6" customFormat="false" ht="15" hidden="false" customHeight="false" outlineLevel="0" collapsed="false">
      <c r="A6" s="2" t="s">
        <v>210</v>
      </c>
      <c r="B6" s="4" t="n">
        <v>69</v>
      </c>
      <c r="C6" s="4" t="n">
        <v>18333</v>
      </c>
      <c r="D6" s="5" t="n">
        <f aca="false">IFERROR(C6/$C$16*100,"")</f>
        <v>13.635552249907</v>
      </c>
    </row>
    <row r="7" customFormat="false" ht="15" hidden="false" customHeight="false" outlineLevel="0" collapsed="false">
      <c r="A7" s="2" t="s">
        <v>211</v>
      </c>
      <c r="B7" s="4" t="n">
        <v>26</v>
      </c>
      <c r="C7" s="4" t="n">
        <v>6609</v>
      </c>
      <c r="D7" s="5" t="n">
        <f aca="false">IFERROR(C7/$C$16*100,"")</f>
        <v>4.91558200074377</v>
      </c>
    </row>
    <row r="8" customFormat="false" ht="15" hidden="false" customHeight="false" outlineLevel="0" collapsed="false">
      <c r="A8" s="2" t="s">
        <v>212</v>
      </c>
      <c r="B8" s="4" t="n">
        <v>53</v>
      </c>
      <c r="C8" s="4" t="n">
        <v>11959</v>
      </c>
      <c r="D8" s="5" t="n">
        <f aca="false">IFERROR(C8/$C$16*100,"")</f>
        <v>8.89475641502417</v>
      </c>
    </row>
    <row r="9" customFormat="false" ht="15" hidden="false" customHeight="false" outlineLevel="0" collapsed="false">
      <c r="A9" s="2" t="s">
        <v>213</v>
      </c>
      <c r="B9" s="4" t="n">
        <v>46</v>
      </c>
      <c r="C9" s="4" t="n">
        <v>12279</v>
      </c>
      <c r="D9" s="5" t="n">
        <f aca="false">IFERROR(C9/$C$16*100,"")</f>
        <v>9.13276310896244</v>
      </c>
    </row>
    <row r="10" customFormat="false" ht="15" hidden="false" customHeight="false" outlineLevel="0" collapsed="false">
      <c r="A10" s="2" t="s">
        <v>214</v>
      </c>
      <c r="B10" s="4" t="n">
        <v>20</v>
      </c>
      <c r="C10" s="4" t="n">
        <v>4359</v>
      </c>
      <c r="D10" s="5" t="n">
        <f aca="false">IFERROR(C10/$C$16*100,"")</f>
        <v>3.24209743399033</v>
      </c>
    </row>
    <row r="11" customFormat="false" ht="15" hidden="false" customHeight="false" outlineLevel="0" collapsed="false">
      <c r="A11" s="2" t="s">
        <v>215</v>
      </c>
      <c r="B11" s="4" t="n">
        <v>68</v>
      </c>
      <c r="C11" s="4" t="n">
        <v>18917</v>
      </c>
      <c r="D11" s="5" t="n">
        <f aca="false">IFERROR(C11/$C$16*100,"")</f>
        <v>14.0699144663444</v>
      </c>
    </row>
    <row r="12" customFormat="false" ht="15" hidden="false" customHeight="false" outlineLevel="0" collapsed="false">
      <c r="A12" s="2" t="s">
        <v>204</v>
      </c>
      <c r="B12" s="4" t="n">
        <v>2</v>
      </c>
      <c r="C12" s="4" t="n">
        <v>493</v>
      </c>
      <c r="D12" s="5" t="n">
        <f aca="false">IFERROR(C12/$C$16*100,"")</f>
        <v>0.366679062848643</v>
      </c>
    </row>
    <row r="13" customFormat="false" ht="15" hidden="false" customHeight="false" outlineLevel="0" collapsed="false">
      <c r="A13" s="2" t="s">
        <v>205</v>
      </c>
      <c r="B13" s="4" t="n">
        <v>104</v>
      </c>
      <c r="C13" s="4" t="n">
        <v>24219</v>
      </c>
      <c r="D13" s="5" t="n">
        <f aca="false">IFERROR(C13/$C$16*100,"")</f>
        <v>18.013387876534</v>
      </c>
    </row>
    <row r="14" customFormat="false" ht="15" hidden="false" customHeight="false" outlineLevel="0" collapsed="false">
      <c r="A14" s="2" t="s">
        <v>192</v>
      </c>
      <c r="B14" s="4" t="n">
        <v>1</v>
      </c>
      <c r="C14" s="4" t="n">
        <v>121</v>
      </c>
      <c r="D14" s="5" t="n">
        <f aca="false">IFERROR(C14/$C$16*100,"")</f>
        <v>0.0899962811454072</v>
      </c>
    </row>
    <row r="15" customFormat="false" ht="15" hidden="false" customHeight="false" outlineLevel="0" collapsed="false">
      <c r="A15" s="2" t="s">
        <v>193</v>
      </c>
      <c r="B15" s="4" t="n">
        <v>1</v>
      </c>
      <c r="C15" s="4" t="n">
        <v>338</v>
      </c>
      <c r="D15" s="5" t="n">
        <f aca="false">IFERROR(C15/$C$16*100,"")</f>
        <v>0.251394570472295</v>
      </c>
    </row>
    <row r="16" customFormat="false" ht="15" hidden="false" customHeight="false" outlineLevel="0" collapsed="false">
      <c r="A16" s="7" t="s">
        <v>65</v>
      </c>
      <c r="B16" s="8" t="n">
        <f aca="false">SUM(B4:B15)</f>
        <v>561</v>
      </c>
      <c r="C16" s="8" t="n">
        <f aca="false">SUM(C4:C15)</f>
        <v>134450</v>
      </c>
      <c r="D16" s="9" t="n">
        <f aca="false">SUM(D4:D15)</f>
        <v>100</v>
      </c>
    </row>
    <row r="18" customFormat="false" ht="15" hidden="false" customHeight="false" outlineLevel="0" collapsed="false">
      <c r="A18" s="10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217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</row>
    <row r="4" customFormat="false" ht="15" hidden="false" customHeight="false" outlineLevel="0" collapsed="false">
      <c r="A4" s="2" t="s">
        <v>218</v>
      </c>
      <c r="B4" s="4" t="n">
        <v>1881</v>
      </c>
      <c r="C4" s="4" t="n">
        <v>440047</v>
      </c>
      <c r="D4" s="5" t="n">
        <f aca="false">IFERROR(C4/$C$9*100,"")</f>
        <v>44.855016548714</v>
      </c>
    </row>
    <row r="5" customFormat="false" ht="15" hidden="false" customHeight="false" outlineLevel="0" collapsed="false">
      <c r="A5" s="2" t="s">
        <v>219</v>
      </c>
      <c r="B5" s="4" t="n">
        <v>554</v>
      </c>
      <c r="C5" s="4" t="n">
        <v>131819</v>
      </c>
      <c r="D5" s="5" t="n">
        <f aca="false">IFERROR(C5/$C$9*100,"")</f>
        <v>13.4366179667966</v>
      </c>
    </row>
    <row r="6" customFormat="false" ht="15" hidden="false" customHeight="false" outlineLevel="0" collapsed="false">
      <c r="A6" s="2" t="s">
        <v>220</v>
      </c>
      <c r="B6" s="4" t="n">
        <v>1876</v>
      </c>
      <c r="C6" s="4" t="n">
        <v>386909</v>
      </c>
      <c r="D6" s="5" t="n">
        <f aca="false">IFERROR(C6/$C$9*100,"")</f>
        <v>39.4385363332698</v>
      </c>
    </row>
    <row r="7" customFormat="false" ht="15" hidden="false" customHeight="false" outlineLevel="0" collapsed="false">
      <c r="A7" s="2" t="s">
        <v>192</v>
      </c>
      <c r="B7" s="4" t="n">
        <v>10</v>
      </c>
      <c r="C7" s="4" t="n">
        <v>4091</v>
      </c>
      <c r="D7" s="5" t="n">
        <f aca="false">IFERROR(C7/$C$9*100,"")</f>
        <v>0.417005166949869</v>
      </c>
    </row>
    <row r="8" customFormat="false" ht="15" hidden="false" customHeight="false" outlineLevel="0" collapsed="false">
      <c r="A8" s="2" t="s">
        <v>193</v>
      </c>
      <c r="B8" s="4" t="n">
        <v>91</v>
      </c>
      <c r="C8" s="4" t="n">
        <v>18177</v>
      </c>
      <c r="D8" s="5" t="n">
        <f aca="false">IFERROR(C8/$C$9*100,"")</f>
        <v>1.8528239842698</v>
      </c>
    </row>
    <row r="9" customFormat="false" ht="15" hidden="false" customHeight="false" outlineLevel="0" collapsed="false">
      <c r="A9" s="7" t="s">
        <v>65</v>
      </c>
      <c r="B9" s="8" t="n">
        <f aca="false">SUM(B4:B8)</f>
        <v>4412</v>
      </c>
      <c r="C9" s="8" t="n">
        <f aca="false">SUM(C4:C8)</f>
        <v>981043</v>
      </c>
      <c r="D9" s="9" t="n">
        <f aca="false">SUM(D4:D8)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221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62</v>
      </c>
    </row>
    <row r="4" customFormat="false" ht="15" hidden="false" customHeight="false" outlineLevel="0" collapsed="false">
      <c r="A4" s="2" t="s">
        <v>222</v>
      </c>
      <c r="B4" s="4" t="n">
        <v>2887</v>
      </c>
      <c r="C4" s="4" t="n">
        <v>617475</v>
      </c>
      <c r="D4" s="5" t="n">
        <f aca="false">IFERROR(C4/$C$16*100,"")</f>
        <v>62.9406020525073</v>
      </c>
    </row>
    <row r="5" customFormat="false" ht="15" hidden="false" customHeight="false" outlineLevel="0" collapsed="false">
      <c r="A5" s="2" t="s">
        <v>223</v>
      </c>
      <c r="B5" s="4" t="n">
        <v>2212</v>
      </c>
      <c r="C5" s="4" t="n">
        <v>540749</v>
      </c>
      <c r="D5" s="5" t="n">
        <f aca="false">IFERROR(C5/$C$16*100,"")</f>
        <v>55.1197499806329</v>
      </c>
    </row>
    <row r="6" customFormat="false" ht="15" hidden="false" customHeight="false" outlineLevel="0" collapsed="false">
      <c r="A6" s="2" t="s">
        <v>224</v>
      </c>
      <c r="B6" s="4" t="n">
        <v>1855</v>
      </c>
      <c r="C6" s="4" t="n">
        <v>387949</v>
      </c>
      <c r="D6" s="5" t="n">
        <f aca="false">IFERROR(C6/$C$16*100,"")</f>
        <v>39.544505649084</v>
      </c>
    </row>
    <row r="7" customFormat="false" ht="15" hidden="false" customHeight="false" outlineLevel="0" collapsed="false">
      <c r="A7" s="2" t="s">
        <v>225</v>
      </c>
      <c r="B7" s="4" t="n">
        <v>1618</v>
      </c>
      <c r="C7" s="4" t="n">
        <v>325885</v>
      </c>
      <c r="D7" s="5" t="n">
        <f aca="false">IFERROR(C7/$C$16*100,"")</f>
        <v>33.2181838938926</v>
      </c>
    </row>
    <row r="8" customFormat="false" ht="15" hidden="false" customHeight="false" outlineLevel="0" collapsed="false">
      <c r="A8" s="2" t="s">
        <v>226</v>
      </c>
      <c r="B8" s="4" t="n">
        <v>496</v>
      </c>
      <c r="C8" s="4" t="n">
        <v>110247</v>
      </c>
      <c r="D8" s="5" t="n">
        <f aca="false">IFERROR(C8/$C$16*100,"")</f>
        <v>11.2377222632216</v>
      </c>
    </row>
    <row r="9" customFormat="false" ht="15" hidden="false" customHeight="false" outlineLevel="0" collapsed="false">
      <c r="A9" s="2" t="s">
        <v>227</v>
      </c>
      <c r="B9" s="4" t="n">
        <v>188</v>
      </c>
      <c r="C9" s="4" t="n">
        <v>48837</v>
      </c>
      <c r="D9" s="5" t="n">
        <f aca="false">IFERROR(C9/$C$16*100,"")</f>
        <v>4.97806418468489</v>
      </c>
    </row>
    <row r="10" customFormat="false" ht="15" hidden="false" customHeight="false" outlineLevel="0" collapsed="false">
      <c r="A10" s="2" t="s">
        <v>228</v>
      </c>
      <c r="B10" s="4" t="n">
        <v>126</v>
      </c>
      <c r="C10" s="4" t="n">
        <v>40703</v>
      </c>
      <c r="D10" s="5" t="n">
        <f aca="false">IFERROR(C10/$C$16*100,"")</f>
        <v>4.14894744782089</v>
      </c>
    </row>
    <row r="11" customFormat="false" ht="15" hidden="false" customHeight="false" outlineLevel="0" collapsed="false">
      <c r="A11" s="2" t="s">
        <v>229</v>
      </c>
      <c r="B11" s="4" t="n">
        <v>172</v>
      </c>
      <c r="C11" s="4" t="n">
        <v>36900</v>
      </c>
      <c r="D11" s="5" t="n">
        <f aca="false">IFERROR(C11/$C$16*100,"")</f>
        <v>3.76129918739628</v>
      </c>
    </row>
    <row r="12" customFormat="false" ht="15" hidden="false" customHeight="false" outlineLevel="0" collapsed="false">
      <c r="A12" s="2" t="s">
        <v>230</v>
      </c>
      <c r="B12" s="4" t="n">
        <v>101</v>
      </c>
      <c r="C12" s="4" t="n">
        <v>22362</v>
      </c>
      <c r="D12" s="5" t="n">
        <f aca="false">IFERROR(C12/$C$16*100,"")</f>
        <v>2.27940846689853</v>
      </c>
    </row>
    <row r="13" customFormat="false" ht="15" hidden="false" customHeight="false" outlineLevel="0" collapsed="false">
      <c r="A13" s="2" t="s">
        <v>231</v>
      </c>
      <c r="B13" s="4" t="n">
        <v>86</v>
      </c>
      <c r="C13" s="4" t="n">
        <v>18795</v>
      </c>
      <c r="D13" s="5" t="n">
        <f aca="false">IFERROR(C13/$C$16*100,"")</f>
        <v>1.91581621211689</v>
      </c>
    </row>
    <row r="14" customFormat="false" ht="15" hidden="false" customHeight="false" outlineLevel="0" collapsed="false">
      <c r="A14" s="2" t="s">
        <v>232</v>
      </c>
      <c r="B14" s="4" t="n">
        <v>31</v>
      </c>
      <c r="C14" s="4" t="n">
        <v>8603</v>
      </c>
      <c r="D14" s="5" t="n">
        <f aca="false">IFERROR(C14/$C$16*100,"")</f>
        <v>0.876922951468028</v>
      </c>
    </row>
    <row r="15" customFormat="false" ht="15" hidden="false" customHeight="false" outlineLevel="0" collapsed="false">
      <c r="A15" s="2" t="s">
        <v>233</v>
      </c>
      <c r="B15" s="4" t="n">
        <v>0</v>
      </c>
      <c r="C15" s="4" t="n">
        <v>0</v>
      </c>
      <c r="D15" s="5" t="n">
        <f aca="false">IFERROR(C15/$C$16*100,"")</f>
        <v>0</v>
      </c>
    </row>
    <row r="16" customFormat="false" ht="15" hidden="false" customHeight="false" outlineLevel="0" collapsed="false">
      <c r="A16" s="7" t="s">
        <v>234</v>
      </c>
      <c r="B16" s="8" t="n">
        <v>4412</v>
      </c>
      <c r="C16" s="8" t="n">
        <f aca="false">Resumen!B7</f>
        <v>981044</v>
      </c>
      <c r="D16" s="9" t="n">
        <f aca="false">IFERROR(C16/$C$16*100,"")</f>
        <v>100</v>
      </c>
    </row>
    <row r="18" customFormat="false" ht="15" hidden="false" customHeight="false" outlineLevel="0" collapsed="false">
      <c r="A18" s="10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236</v>
      </c>
    </row>
    <row r="3" customFormat="false" ht="23.8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237</v>
      </c>
    </row>
    <row r="4" customFormat="false" ht="15" hidden="false" customHeight="false" outlineLevel="0" collapsed="false">
      <c r="A4" s="2" t="s">
        <v>238</v>
      </c>
      <c r="B4" s="4" t="n">
        <v>491</v>
      </c>
      <c r="C4" s="4" t="n">
        <v>102369</v>
      </c>
      <c r="D4" s="5" t="n">
        <f aca="false">IFERROR(C4/$C$9*100,"")</f>
        <v>46.2371273712737</v>
      </c>
    </row>
    <row r="5" customFormat="false" ht="15" hidden="false" customHeight="false" outlineLevel="0" collapsed="false">
      <c r="A5" s="2" t="s">
        <v>239</v>
      </c>
      <c r="B5" s="4" t="n">
        <v>212</v>
      </c>
      <c r="C5" s="4" t="n">
        <v>48473</v>
      </c>
      <c r="D5" s="5" t="n">
        <f aca="false">IFERROR(C5/$C$9*100,"")</f>
        <v>21.8938572719061</v>
      </c>
    </row>
    <row r="6" customFormat="false" ht="15" hidden="false" customHeight="false" outlineLevel="0" collapsed="false">
      <c r="A6" s="2" t="s">
        <v>240</v>
      </c>
      <c r="B6" s="4" t="n">
        <v>15</v>
      </c>
      <c r="C6" s="4" t="n">
        <v>2306</v>
      </c>
      <c r="D6" s="5" t="n">
        <f aca="false">IFERROR(C6/$C$9*100,"")</f>
        <v>1.04155374887082</v>
      </c>
    </row>
    <row r="7" customFormat="false" ht="15" hidden="false" customHeight="false" outlineLevel="0" collapsed="false">
      <c r="A7" s="2" t="s">
        <v>241</v>
      </c>
      <c r="B7" s="4" t="n">
        <v>179</v>
      </c>
      <c r="C7" s="4" t="n">
        <v>32260</v>
      </c>
      <c r="D7" s="5" t="n">
        <f aca="false">IFERROR(C7/$C$9*100,"")</f>
        <v>14.5709123757904</v>
      </c>
    </row>
    <row r="8" customFormat="false" ht="15" hidden="false" customHeight="false" outlineLevel="0" collapsed="false">
      <c r="A8" s="2" t="s">
        <v>242</v>
      </c>
      <c r="B8" s="4" t="n">
        <v>189</v>
      </c>
      <c r="C8" s="4" t="n">
        <v>35992</v>
      </c>
      <c r="D8" s="5" t="n">
        <f aca="false">IFERROR(C8/$C$9*100,"")</f>
        <v>16.256549232159</v>
      </c>
    </row>
    <row r="9" customFormat="false" ht="15" hidden="false" customHeight="false" outlineLevel="0" collapsed="false">
      <c r="A9" s="7" t="s">
        <v>65</v>
      </c>
      <c r="B9" s="8" t="n">
        <f aca="false">SUM(B4:B8)</f>
        <v>1086</v>
      </c>
      <c r="C9" s="8" t="n">
        <f aca="false">SUM(C4:C8)</f>
        <v>221400</v>
      </c>
      <c r="D9" s="9" t="n">
        <f aca="false">SUM(D4:D8)</f>
        <v>100</v>
      </c>
    </row>
    <row r="11" customFormat="false" ht="15" hidden="false" customHeight="false" outlineLevel="0" collapsed="false">
      <c r="A11" s="10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244</v>
      </c>
    </row>
    <row r="3" customFormat="false" ht="35.0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245</v>
      </c>
    </row>
    <row r="4" customFormat="false" ht="15" hidden="false" customHeight="false" outlineLevel="0" collapsed="false">
      <c r="A4" s="2" t="s">
        <v>246</v>
      </c>
      <c r="B4" s="4" t="n">
        <v>45</v>
      </c>
      <c r="C4" s="4" t="n">
        <v>6065</v>
      </c>
      <c r="D4" s="5" t="n">
        <f aca="false">IFERROR(C4/$C$25*100,"")</f>
        <v>5.92470303219756</v>
      </c>
    </row>
    <row r="5" customFormat="false" ht="15" hidden="false" customHeight="false" outlineLevel="0" collapsed="false">
      <c r="A5" s="2" t="s">
        <v>247</v>
      </c>
      <c r="B5" s="4" t="n">
        <v>9</v>
      </c>
      <c r="C5" s="4" t="n">
        <v>1155</v>
      </c>
      <c r="D5" s="5" t="n">
        <f aca="false">IFERROR(C5/$C$25*100,"")</f>
        <v>1.12828227571116</v>
      </c>
    </row>
    <row r="6" customFormat="false" ht="15" hidden="false" customHeight="false" outlineLevel="0" collapsed="false">
      <c r="A6" s="2" t="s">
        <v>248</v>
      </c>
      <c r="B6" s="4" t="n">
        <v>49</v>
      </c>
      <c r="C6" s="4" t="n">
        <v>9680</v>
      </c>
      <c r="D6" s="5" t="n">
        <f aca="false">IFERROR(C6/$C$25*100,"")</f>
        <v>9.45608002500782</v>
      </c>
    </row>
    <row r="7" customFormat="false" ht="15" hidden="false" customHeight="false" outlineLevel="0" collapsed="false">
      <c r="A7" s="2" t="s">
        <v>249</v>
      </c>
      <c r="B7" s="4" t="n">
        <v>3</v>
      </c>
      <c r="C7" s="4" t="n">
        <v>214</v>
      </c>
      <c r="D7" s="5" t="n">
        <f aca="false">IFERROR(C7/$C$25*100,"")</f>
        <v>0.209049703032198</v>
      </c>
    </row>
    <row r="8" customFormat="false" ht="15" hidden="false" customHeight="false" outlineLevel="0" collapsed="false">
      <c r="A8" s="2" t="s">
        <v>250</v>
      </c>
      <c r="B8" s="4" t="n">
        <v>69</v>
      </c>
      <c r="C8" s="4" t="n">
        <v>12719</v>
      </c>
      <c r="D8" s="5" t="n">
        <f aca="false">IFERROR(C8/$C$25*100,"")</f>
        <v>12.4247811816193</v>
      </c>
    </row>
    <row r="9" customFormat="false" ht="15" hidden="false" customHeight="false" outlineLevel="0" collapsed="false">
      <c r="A9" s="2" t="s">
        <v>251</v>
      </c>
      <c r="B9" s="4" t="n">
        <v>82</v>
      </c>
      <c r="C9" s="4" t="n">
        <v>17580</v>
      </c>
      <c r="D9" s="5" t="n">
        <f aca="false">IFERROR(C9/$C$25*100,"")</f>
        <v>17.1733354173179</v>
      </c>
    </row>
    <row r="10" customFormat="false" ht="15" hidden="false" customHeight="false" outlineLevel="0" collapsed="false">
      <c r="A10" s="2" t="s">
        <v>252</v>
      </c>
      <c r="B10" s="4" t="n">
        <v>24</v>
      </c>
      <c r="C10" s="4" t="n">
        <v>8272</v>
      </c>
      <c r="D10" s="5" t="n">
        <f aca="false">IFERROR(C10/$C$25*100,"")</f>
        <v>8.0806502031885</v>
      </c>
    </row>
    <row r="11" customFormat="false" ht="15" hidden="false" customHeight="false" outlineLevel="0" collapsed="false">
      <c r="A11" s="2" t="s">
        <v>253</v>
      </c>
      <c r="B11" s="4" t="n">
        <v>27</v>
      </c>
      <c r="C11" s="4" t="n">
        <v>5589</v>
      </c>
      <c r="D11" s="5" t="n">
        <f aca="false">IFERROR(C11/$C$25*100,"")</f>
        <v>5.4597139731166</v>
      </c>
    </row>
    <row r="12" customFormat="false" ht="15" hidden="false" customHeight="false" outlineLevel="0" collapsed="false">
      <c r="A12" s="2" t="s">
        <v>254</v>
      </c>
      <c r="B12" s="4" t="n">
        <v>6</v>
      </c>
      <c r="C12" s="4" t="n">
        <v>1866</v>
      </c>
      <c r="D12" s="5" t="n">
        <f aca="false">IFERROR(C12/$C$25*100,"")</f>
        <v>1.82283526101907</v>
      </c>
    </row>
    <row r="13" customFormat="false" ht="15" hidden="false" customHeight="false" outlineLevel="0" collapsed="false">
      <c r="A13" s="2" t="s">
        <v>255</v>
      </c>
      <c r="B13" s="4" t="n">
        <v>4</v>
      </c>
      <c r="C13" s="4" t="n">
        <v>877</v>
      </c>
      <c r="D13" s="5" t="n">
        <f aca="false">IFERROR(C13/$C$25*100,"")</f>
        <v>0.856713035323539</v>
      </c>
    </row>
    <row r="14" customFormat="false" ht="15" hidden="false" customHeight="false" outlineLevel="0" collapsed="false">
      <c r="A14" s="2" t="s">
        <v>256</v>
      </c>
      <c r="B14" s="4" t="n">
        <v>2</v>
      </c>
      <c r="C14" s="4" t="n">
        <v>396</v>
      </c>
      <c r="D14" s="5" t="n">
        <f aca="false">IFERROR(C14/$C$25*100,"")</f>
        <v>0.386839637386683</v>
      </c>
    </row>
    <row r="15" customFormat="false" ht="15" hidden="false" customHeight="false" outlineLevel="0" collapsed="false">
      <c r="A15" s="2" t="s">
        <v>257</v>
      </c>
      <c r="B15" s="4" t="n">
        <v>13</v>
      </c>
      <c r="C15" s="4" t="n">
        <v>2257</v>
      </c>
      <c r="D15" s="5" t="n">
        <f aca="false">IFERROR(C15/$C$25*100,"")</f>
        <v>2.20479055954986</v>
      </c>
    </row>
    <row r="16" customFormat="false" ht="15" hidden="false" customHeight="false" outlineLevel="0" collapsed="false">
      <c r="A16" s="2" t="s">
        <v>258</v>
      </c>
      <c r="B16" s="4" t="n">
        <v>43</v>
      </c>
      <c r="C16" s="4" t="n">
        <v>8898</v>
      </c>
      <c r="D16" s="5" t="n">
        <f aca="false">IFERROR(C16/$C$25*100,"")</f>
        <v>8.69216942794623</v>
      </c>
    </row>
    <row r="17" customFormat="false" ht="15" hidden="false" customHeight="false" outlineLevel="0" collapsed="false">
      <c r="A17" s="2" t="s">
        <v>259</v>
      </c>
      <c r="B17" s="4" t="n">
        <v>24</v>
      </c>
      <c r="C17" s="4" t="n">
        <v>4761</v>
      </c>
      <c r="D17" s="5" t="n">
        <f aca="false">IFERROR(C17/$C$25*100,"")</f>
        <v>4.65086745858081</v>
      </c>
    </row>
    <row r="18" customFormat="false" ht="15" hidden="false" customHeight="false" outlineLevel="0" collapsed="false">
      <c r="A18" s="2" t="s">
        <v>260</v>
      </c>
      <c r="B18" s="4" t="n">
        <v>25</v>
      </c>
      <c r="C18" s="4" t="n">
        <v>5640</v>
      </c>
      <c r="D18" s="5" t="n">
        <f aca="false">IFERROR(C18/$C$25*100,"")</f>
        <v>5.5095342294467</v>
      </c>
    </row>
    <row r="19" customFormat="false" ht="15" hidden="false" customHeight="false" outlineLevel="0" collapsed="false">
      <c r="A19" s="2" t="s">
        <v>261</v>
      </c>
      <c r="B19" s="4" t="n">
        <v>25</v>
      </c>
      <c r="C19" s="4" t="n">
        <v>4925</v>
      </c>
      <c r="D19" s="5" t="n">
        <f aca="false">IFERROR(C19/$C$25*100,"")</f>
        <v>4.81107377305408</v>
      </c>
    </row>
    <row r="20" customFormat="false" ht="15" hidden="false" customHeight="false" outlineLevel="0" collapsed="false">
      <c r="A20" s="2" t="s">
        <v>262</v>
      </c>
      <c r="B20" s="4" t="n">
        <v>4</v>
      </c>
      <c r="C20" s="4" t="n">
        <v>1213</v>
      </c>
      <c r="D20" s="5" t="n">
        <f aca="false">IFERROR(C20/$C$25*100,"")</f>
        <v>1.18494060643951</v>
      </c>
    </row>
    <row r="21" customFormat="false" ht="15" hidden="false" customHeight="false" outlineLevel="0" collapsed="false">
      <c r="A21" s="2" t="s">
        <v>263</v>
      </c>
      <c r="B21" s="4" t="n">
        <v>13</v>
      </c>
      <c r="C21" s="4" t="n">
        <v>4527</v>
      </c>
      <c r="D21" s="5" t="n">
        <f aca="false">IFERROR(C21/$C$25*100,"")</f>
        <v>4.42228040012504</v>
      </c>
    </row>
    <row r="22" customFormat="false" ht="15" hidden="false" customHeight="false" outlineLevel="0" collapsed="false">
      <c r="A22" s="2" t="s">
        <v>264</v>
      </c>
      <c r="B22" s="4" t="n">
        <v>22</v>
      </c>
      <c r="C22" s="4" t="n">
        <v>5345</v>
      </c>
      <c r="D22" s="5" t="n">
        <f aca="false">IFERROR(C22/$C$25*100,"")</f>
        <v>5.22135823694905</v>
      </c>
    </row>
    <row r="23" customFormat="false" ht="15" hidden="false" customHeight="false" outlineLevel="0" collapsed="false">
      <c r="A23" s="2" t="s">
        <v>265</v>
      </c>
      <c r="B23" s="4" t="n">
        <v>1</v>
      </c>
      <c r="C23" s="4" t="n">
        <v>256</v>
      </c>
      <c r="D23" s="5" t="n">
        <f aca="false">IFERROR(C23/$C$25*100,"")</f>
        <v>0.250078149421694</v>
      </c>
    </row>
    <row r="24" customFormat="false" ht="15" hidden="false" customHeight="false" outlineLevel="0" collapsed="false">
      <c r="A24" s="2" t="s">
        <v>166</v>
      </c>
      <c r="B24" s="4" t="n">
        <v>1</v>
      </c>
      <c r="C24" s="4" t="n">
        <v>133</v>
      </c>
      <c r="D24" s="5" t="n">
        <f aca="false">IFERROR(C24/$C$25*100,"")</f>
        <v>0.12992341356674</v>
      </c>
    </row>
    <row r="25" customFormat="false" ht="15" hidden="false" customHeight="false" outlineLevel="0" collapsed="false">
      <c r="A25" s="7" t="s">
        <v>65</v>
      </c>
      <c r="B25" s="8" t="n">
        <f aca="false">SUM(B4:B24)</f>
        <v>491</v>
      </c>
      <c r="C25" s="8" t="n">
        <f aca="false">SUM(C4:C24)</f>
        <v>102368</v>
      </c>
      <c r="D25" s="9" t="n">
        <f aca="false">SUM(D4:D24)</f>
        <v>100</v>
      </c>
    </row>
    <row r="27" customFormat="false" ht="15" hidden="false" customHeight="false" outlineLevel="0" collapsed="false">
      <c r="A27" s="10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267</v>
      </c>
    </row>
    <row r="3" customFormat="false" ht="35.0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245</v>
      </c>
    </row>
    <row r="4" customFormat="false" ht="15" hidden="false" customHeight="false" outlineLevel="0" collapsed="false">
      <c r="A4" s="2" t="s">
        <v>268</v>
      </c>
      <c r="B4" s="4" t="n">
        <v>164</v>
      </c>
      <c r="C4" s="4" t="n">
        <v>38135</v>
      </c>
      <c r="D4" s="5" t="n">
        <f aca="false">IFERROR(C4/$C$10*100,"")</f>
        <v>37.2528524538918</v>
      </c>
    </row>
    <row r="5" customFormat="false" ht="15" hidden="false" customHeight="false" outlineLevel="0" collapsed="false">
      <c r="A5" s="2" t="s">
        <v>269</v>
      </c>
      <c r="B5" s="4" t="n">
        <v>126</v>
      </c>
      <c r="C5" s="4" t="n">
        <v>24029</v>
      </c>
      <c r="D5" s="5" t="n">
        <f aca="false">IFERROR(C5/$C$10*100,"")</f>
        <v>23.473155673648</v>
      </c>
    </row>
    <row r="6" customFormat="false" ht="15" hidden="false" customHeight="false" outlineLevel="0" collapsed="false">
      <c r="A6" s="2" t="s">
        <v>270</v>
      </c>
      <c r="B6" s="4" t="n">
        <v>29</v>
      </c>
      <c r="C6" s="4" t="n">
        <v>6405</v>
      </c>
      <c r="D6" s="5" t="n">
        <f aca="false">IFERROR(C6/$C$10*100,"")</f>
        <v>6.25683807439825</v>
      </c>
    </row>
    <row r="7" customFormat="false" ht="15" hidden="false" customHeight="false" outlineLevel="0" collapsed="false">
      <c r="A7" s="2" t="s">
        <v>271</v>
      </c>
      <c r="B7" s="4" t="n">
        <v>59</v>
      </c>
      <c r="C7" s="4" t="n">
        <v>12449</v>
      </c>
      <c r="D7" s="5" t="n">
        <f aca="false">IFERROR(C7/$C$10*100,"")</f>
        <v>12.1610268834011</v>
      </c>
    </row>
    <row r="8" customFormat="false" ht="15" hidden="false" customHeight="false" outlineLevel="0" collapsed="false">
      <c r="A8" s="2" t="s">
        <v>272</v>
      </c>
      <c r="B8" s="4" t="n">
        <v>4</v>
      </c>
      <c r="C8" s="4" t="n">
        <v>620</v>
      </c>
      <c r="D8" s="5" t="n">
        <f aca="false">IFERROR(C8/$C$10*100,"")</f>
        <v>0.605658018130666</v>
      </c>
    </row>
    <row r="9" customFormat="false" ht="15" hidden="false" customHeight="false" outlineLevel="0" collapsed="false">
      <c r="A9" s="2" t="s">
        <v>273</v>
      </c>
      <c r="B9" s="4" t="n">
        <v>109</v>
      </c>
      <c r="C9" s="4" t="n">
        <v>20730</v>
      </c>
      <c r="D9" s="5" t="n">
        <f aca="false">IFERROR(C9/$C$10*100,"")</f>
        <v>20.2504688965302</v>
      </c>
    </row>
    <row r="10" customFormat="false" ht="15" hidden="false" customHeight="false" outlineLevel="0" collapsed="false">
      <c r="A10" s="7" t="s">
        <v>65</v>
      </c>
      <c r="B10" s="8" t="n">
        <f aca="false">SUM(B4:B9)</f>
        <v>491</v>
      </c>
      <c r="C10" s="8" t="n">
        <f aca="false">SUM(C4:C9)</f>
        <v>102368</v>
      </c>
      <c r="D10" s="9" t="n">
        <f aca="false">SUM(D4:D9)</f>
        <v>100</v>
      </c>
    </row>
    <row r="12" customFormat="false" ht="15" hidden="false" customHeight="false" outlineLevel="0" collapsed="false">
      <c r="A12" s="10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275</v>
      </c>
    </row>
    <row r="3" customFormat="false" ht="35.0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245</v>
      </c>
    </row>
    <row r="4" customFormat="false" ht="15" hidden="false" customHeight="false" outlineLevel="0" collapsed="false">
      <c r="A4" s="2" t="s">
        <v>276</v>
      </c>
      <c r="B4" s="4" t="n">
        <v>10</v>
      </c>
      <c r="C4" s="4" t="n">
        <v>1930</v>
      </c>
      <c r="D4" s="5" t="n">
        <f aca="false">IFERROR(C4/$C$10*100,"")</f>
        <v>1.88535479837449</v>
      </c>
    </row>
    <row r="5" customFormat="false" ht="15" hidden="false" customHeight="false" outlineLevel="0" collapsed="false">
      <c r="A5" s="2" t="s">
        <v>277</v>
      </c>
      <c r="B5" s="4" t="n">
        <v>97</v>
      </c>
      <c r="C5" s="4" t="n">
        <v>18528</v>
      </c>
      <c r="D5" s="5" t="n">
        <f aca="false">IFERROR(C5/$C$10*100,"")</f>
        <v>18.0994060643951</v>
      </c>
    </row>
    <row r="6" customFormat="false" ht="15" hidden="false" customHeight="false" outlineLevel="0" collapsed="false">
      <c r="A6" s="2" t="s">
        <v>278</v>
      </c>
      <c r="B6" s="4" t="n">
        <v>332</v>
      </c>
      <c r="C6" s="4" t="n">
        <v>71521</v>
      </c>
      <c r="D6" s="5" t="n">
        <f aca="false">IFERROR(C6/$C$10*100,"")</f>
        <v>69.866559862457</v>
      </c>
    </row>
    <row r="7" customFormat="false" ht="15" hidden="false" customHeight="false" outlineLevel="0" collapsed="false">
      <c r="A7" s="2" t="s">
        <v>279</v>
      </c>
      <c r="B7" s="4" t="n">
        <v>34</v>
      </c>
      <c r="C7" s="4" t="n">
        <v>5710</v>
      </c>
      <c r="D7" s="5" t="n">
        <f aca="false">IFERROR(C7/$C$10*100,"")</f>
        <v>5.5779149734292</v>
      </c>
    </row>
    <row r="8" customFormat="false" ht="15" hidden="false" customHeight="false" outlineLevel="0" collapsed="false">
      <c r="A8" s="2" t="s">
        <v>280</v>
      </c>
      <c r="B8" s="4" t="n">
        <v>16</v>
      </c>
      <c r="C8" s="4" t="n">
        <v>4408</v>
      </c>
      <c r="D8" s="5" t="n">
        <f aca="false">IFERROR(C8/$C$10*100,"")</f>
        <v>4.3060331353548</v>
      </c>
    </row>
    <row r="9" customFormat="false" ht="15" hidden="false" customHeight="false" outlineLevel="0" collapsed="false">
      <c r="A9" s="2" t="s">
        <v>281</v>
      </c>
      <c r="B9" s="4" t="n">
        <v>2</v>
      </c>
      <c r="C9" s="4" t="n">
        <v>271</v>
      </c>
      <c r="D9" s="5" t="n">
        <f aca="false">IFERROR(C9/$C$10*100,"")</f>
        <v>0.264731165989372</v>
      </c>
    </row>
    <row r="10" customFormat="false" ht="15" hidden="false" customHeight="false" outlineLevel="0" collapsed="false">
      <c r="A10" s="7" t="s">
        <v>65</v>
      </c>
      <c r="B10" s="8" t="n">
        <f aca="false">SUM(B4:B9)</f>
        <v>491</v>
      </c>
      <c r="C10" s="8" t="n">
        <f aca="false">SUM(C4:C9)</f>
        <v>102368</v>
      </c>
      <c r="D10" s="9" t="n">
        <f aca="false">SUM(D4:D9)</f>
        <v>100</v>
      </c>
    </row>
    <row r="12" customFormat="false" ht="15" hidden="false" customHeight="false" outlineLevel="0" collapsed="false">
      <c r="A12" s="10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283</v>
      </c>
    </row>
    <row r="3" customFormat="false" ht="35.0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245</v>
      </c>
    </row>
    <row r="4" customFormat="false" ht="15" hidden="false" customHeight="false" outlineLevel="0" collapsed="false">
      <c r="A4" s="2" t="s">
        <v>284</v>
      </c>
      <c r="B4" s="4" t="n">
        <v>302</v>
      </c>
      <c r="C4" s="4" t="n">
        <v>64679</v>
      </c>
      <c r="D4" s="5" t="n">
        <f aca="false">IFERROR(C4/$C$6*100,"")</f>
        <v>63.1822133653743</v>
      </c>
    </row>
    <row r="5" customFormat="false" ht="15" hidden="false" customHeight="false" outlineLevel="0" collapsed="false">
      <c r="A5" s="2" t="s">
        <v>285</v>
      </c>
      <c r="B5" s="4" t="n">
        <v>189</v>
      </c>
      <c r="C5" s="4" t="n">
        <v>37690</v>
      </c>
      <c r="D5" s="5" t="n">
        <f aca="false">IFERROR(C5/$C$6*100,"")</f>
        <v>36.8177866346257</v>
      </c>
    </row>
    <row r="6" customFormat="false" ht="15" hidden="false" customHeight="false" outlineLevel="0" collapsed="false">
      <c r="A6" s="7" t="s">
        <v>65</v>
      </c>
      <c r="B6" s="8" t="n">
        <f aca="false">SUM(B4:B5)</f>
        <v>491</v>
      </c>
      <c r="C6" s="8" t="n">
        <f aca="false">SUM(C4:C5)</f>
        <v>102369</v>
      </c>
      <c r="D6" s="9" t="n">
        <f aca="false">SUM(D4:D5)</f>
        <v>100</v>
      </c>
    </row>
    <row r="8" customFormat="false" ht="15" hidden="false" customHeight="false" outlineLevel="0" collapsed="false">
      <c r="A8" s="10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287</v>
      </c>
    </row>
    <row r="3" customFormat="false" ht="35.05" hidden="false" customHeight="false" outlineLevel="0" collapsed="false">
      <c r="A3" s="6" t="s">
        <v>60</v>
      </c>
      <c r="B3" s="6" t="s">
        <v>61</v>
      </c>
      <c r="C3" s="6" t="s">
        <v>52</v>
      </c>
      <c r="D3" s="6" t="s">
        <v>245</v>
      </c>
    </row>
    <row r="4" customFormat="false" ht="15" hidden="false" customHeight="false" outlineLevel="0" collapsed="false">
      <c r="A4" s="2" t="s">
        <v>288</v>
      </c>
      <c r="B4" s="4" t="n">
        <v>366</v>
      </c>
      <c r="C4" s="4" t="n">
        <v>77894</v>
      </c>
      <c r="D4" s="5" t="n">
        <f aca="false">IFERROR(C4/$C$7*100,"")</f>
        <v>76.0913948558646</v>
      </c>
    </row>
    <row r="5" customFormat="false" ht="15" hidden="false" customHeight="false" outlineLevel="0" collapsed="false">
      <c r="A5" s="2" t="s">
        <v>289</v>
      </c>
      <c r="B5" s="4" t="n">
        <v>103</v>
      </c>
      <c r="C5" s="4" t="n">
        <v>19130</v>
      </c>
      <c r="D5" s="5" t="n">
        <f aca="false">IFERROR(C5/$C$7*100,"")</f>
        <v>18.687297912454</v>
      </c>
    </row>
    <row r="6" customFormat="false" ht="15" hidden="false" customHeight="false" outlineLevel="0" collapsed="false">
      <c r="A6" s="2" t="s">
        <v>290</v>
      </c>
      <c r="B6" s="4" t="n">
        <v>22</v>
      </c>
      <c r="C6" s="4" t="n">
        <v>5345</v>
      </c>
      <c r="D6" s="5" t="n">
        <f aca="false">IFERROR(C6/$C$7*100,"")</f>
        <v>5.22130723168147</v>
      </c>
    </row>
    <row r="7" customFormat="false" ht="15" hidden="false" customHeight="false" outlineLevel="0" collapsed="false">
      <c r="A7" s="7" t="s">
        <v>65</v>
      </c>
      <c r="B7" s="8" t="n">
        <f aca="false">SUM(B4:B6)</f>
        <v>491</v>
      </c>
      <c r="C7" s="8" t="n">
        <f aca="false">SUM(C4:C6)</f>
        <v>102369</v>
      </c>
      <c r="D7" s="9" t="n">
        <f aca="false">SUM(D4:D6)</f>
        <v>100</v>
      </c>
    </row>
    <row r="9" customFormat="false" ht="15" hidden="false" customHeight="false" outlineLevel="0" collapsed="false">
      <c r="A9" s="10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2026-08-30T16:57:35Z</dcterms:created>
  <dc:creator>openpyxl</dc:creator>
  <dc:description/>
  <dc:language>en-US</dc:language>
  <cp:lastModifiedBy/>
  <dcterms:modified xsi:type="dcterms:W3CDTF">2026-08-30T16:57:35Z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